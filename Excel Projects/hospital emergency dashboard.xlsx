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1b0f967f6e8118f4/Desktop/"/>
    </mc:Choice>
  </mc:AlternateContent>
  <xr:revisionPtr revIDLastSave="278" documentId="8_{BB299758-AFA4-4F87-9AC7-E24252F0C309}" xr6:coauthVersionLast="47" xr6:coauthVersionMax="47" xr10:uidLastSave="{E5A98286-F0E9-4286-9255-1FF50899C3CF}"/>
  <bookViews>
    <workbookView xWindow="-120" yWindow="-120" windowWidth="20730" windowHeight="11040" activeTab="1" xr2:uid="{33B24B65-F6EB-4440-B0D7-8DD477239914}"/>
  </bookViews>
  <sheets>
    <sheet name="pivot report" sheetId="1" r:id="rId1"/>
    <sheet name="Dashboard" sheetId="2" r:id="rId2"/>
    <sheet name="Average Wait Time daily trend" sheetId="4" r:id="rId3"/>
    <sheet name="Daily ER No of patients" sheetId="3" r:id="rId4"/>
    <sheet name="Saticification score daily tren" sheetId="6"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  1_641998f7-19a4-488e-b1b0-23b662b855da" name="Hospital Emergency Room Data  1" connection="Query - Hospital Emergency Room Data (1)"/>
          <x15:modelTable id="Calendar_Table_2c2089a4-b743-4e74-82d3-821e763d4f5c" name="Calendar_Table" connection="Query - Calendar_Table"/>
        </x15:modelTables>
        <x15:modelRelationships>
          <x15:modelRelationship fromTable="Hospital Emergency Room Data  1"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9" i="1" l="1"/>
  <c r="B60" i="1"/>
  <c r="C60" i="1"/>
  <c r="A60" i="1"/>
  <c r="C59" i="1"/>
  <c r="A5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10A002-344E-412C-A377-147493C0049B}" name="Query - Calendar_Table" description="Connection to the 'Calendar_Table' query in the workbook." type="100" refreshedVersion="8" minRefreshableVersion="5">
    <extLst>
      <ext xmlns:x15="http://schemas.microsoft.com/office/spreadsheetml/2010/11/main" uri="{DE250136-89BD-433C-8126-D09CA5730AF9}">
        <x15:connection id="35a900bc-8cd4-4c0c-bd8d-264eaccffd6f"/>
      </ext>
    </extLst>
  </connection>
  <connection id="2" xr16:uid="{9682B36F-7A3C-490C-B0B7-B7D3BDAE8DC3}" name="Query - Hospital Emergency Room Data (1)" description="Connection to the 'Hospital Emergency Room Data (1)' query in the workbook." type="100" refreshedVersion="8" minRefreshableVersion="5">
    <extLst>
      <ext xmlns:x15="http://schemas.microsoft.com/office/spreadsheetml/2010/11/main" uri="{DE250136-89BD-433C-8126-D09CA5730AF9}">
        <x15:connection id="6fc49cec-d1a9-49de-905a-c0d275e63e63"/>
      </ext>
    </extLst>
  </connection>
  <connection id="3" xr16:uid="{8FD1B365-C0E8-4204-8194-8C58781A992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<sst xmlns="http://schemas.openxmlformats.org/spreadsheetml/2006/main" count="159" uniqueCount="78">
  <si>
    <t>Count of Patient Id</t>
  </si>
  <si>
    <t>No of patients</t>
  </si>
  <si>
    <t>Average of Patient Waittime</t>
  </si>
  <si>
    <t>Average of Patient Satisfaction Score</t>
  </si>
  <si>
    <t>Grand Total</t>
  </si>
  <si>
    <t>2024</t>
  </si>
  <si>
    <t>Row Labels</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</si>
  <si>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</si>
  <si>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</si>
  <si>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</si>
  <si>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</si>
  <si>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</si>
  <si>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</si>
  <si>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</si>
  <si>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</si>
  <si>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</si>
  <si>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</si>
  <si>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</si>
  <si>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</si>
  <si>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</si>
  <si>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</si>
  <si>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</si>
  <si>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</si>
  <si>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</si>
  <si>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</si>
  <si>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</si>
  <si>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</si>
  <si>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</si>
  <si>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</si>
  <si>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</si>
  <si>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</si>
  <si>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</si>
  <si>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</si>
  <si>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</si>
  <si>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</si>
  <si>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</si>
  <si>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</si>
  <si>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</si>
  <si>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daily trends of no of patients</t>
  </si>
  <si>
    <t>average wait time</t>
  </si>
  <si>
    <t>d</t>
  </si>
  <si>
    <t>saticfication score trend</t>
  </si>
  <si>
    <t>admitted</t>
  </si>
  <si>
    <t>not admitted</t>
  </si>
  <si>
    <t>Count of Patient Admission Flag</t>
  </si>
  <si>
    <t>Count of Patient Admission Flag2</t>
  </si>
  <si>
    <t>Admisssion Status</t>
  </si>
  <si>
    <t xml:space="preserve"> No of patient</t>
  </si>
  <si>
    <t>%Status</t>
  </si>
  <si>
    <t>0-09</t>
  </si>
  <si>
    <t>10-19</t>
  </si>
  <si>
    <t>20-29</t>
  </si>
  <si>
    <t>30-39</t>
  </si>
  <si>
    <t>40-49</t>
  </si>
  <si>
    <t>50-59</t>
  </si>
  <si>
    <t>60-69</t>
  </si>
  <si>
    <t>70-79</t>
  </si>
  <si>
    <t>Count of Age group</t>
  </si>
  <si>
    <t>age group wise anlysis</t>
  </si>
  <si>
    <t>Delay</t>
  </si>
  <si>
    <t>Ontime</t>
  </si>
  <si>
    <t>Count of Patient Attend status</t>
  </si>
  <si>
    <t>attende status</t>
  </si>
  <si>
    <t>Female</t>
  </si>
  <si>
    <t>Male</t>
  </si>
  <si>
    <t>Count of Patient Gender</t>
  </si>
  <si>
    <t>Gender anlysis</t>
  </si>
  <si>
    <t>Cardiology</t>
  </si>
  <si>
    <t>Gastroenterology</t>
  </si>
  <si>
    <t>General Practice</t>
  </si>
  <si>
    <t>Neurology</t>
  </si>
  <si>
    <t>None</t>
  </si>
  <si>
    <t>Orthopedics</t>
  </si>
  <si>
    <t>Physiotherapy</t>
  </si>
  <si>
    <t>Renal</t>
  </si>
  <si>
    <t>Count of Department Referral</t>
  </si>
  <si>
    <t>department wise</t>
  </si>
  <si>
    <t xml:space="preserve">year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</si>
</sst>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theme="1"/>
      <name val="Calibri"/>
      <family val="2"/>
      <scheme val="minor"/>
    </font>
    <font>
      <sz val="9"/>
      <color theme="1"/>
      <name val="Calibri"/>
      <family val="2"/>
      <scheme val="minor"/>
    </font>
    <font>
      <sz val="8"/>
      <color theme="1"/>
      <name val="Calibri"/>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
      <patternFill patternType="solid">
        <fgColor theme="4" tint="0.399975585192419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1" fontId="0" fillId="0" borderId="0" xfId="0" applyNumberFormat="1"/>
    <xf numFmtId="10" fontId="0" fillId="0" borderId="0" xfId="0" applyNumberFormat="1"/>
    <xf numFmtId="0" fontId="2" fillId="0" borderId="0" xfId="0" applyFont="1"/>
    <xf numFmtId="0" fontId="3" fillId="0" borderId="0" xfId="0" applyFont="1"/>
    <xf numFmtId="0" fontId="2" fillId="4" borderId="0" xfId="0" applyFont="1" applyFill="1" applyAlignment="1">
      <alignment horizontal="center"/>
    </xf>
    <xf numFmtId="9" fontId="3" fillId="0" borderId="0" xfId="1" applyFont="1" applyAlignment="1">
      <alignment horizontal="center"/>
    </xf>
    <xf numFmtId="0" fontId="2" fillId="4" borderId="0" xfId="0" applyFont="1" applyFill="1"/>
    <xf numFmtId="0" fontId="3" fillId="0" borderId="0" xfId="0" applyFont="1" applyAlignment="1">
      <alignment horizontal="center"/>
    </xf>
    <xf numFmtId="0" fontId="3" fillId="4" borderId="0" xfId="0" applyFont="1" applyFill="1" applyAlignment="1">
      <alignment horizontal="center"/>
    </xf>
  </cellXfs>
  <cellStyles count="2">
    <cellStyle name="Normal" xfId="0" builtinId="0"/>
    <cellStyle name="Percent" xfId="1" builtinId="5"/>
  </cellStyles>
  <dxfs count="18">
    <dxf>
      <numFmt numFmtId="2" formatCode="0.00"/>
    </dxf>
    <dxf>
      <numFmt numFmtId="1" formatCode="0"/>
    </dxf>
    <dxf>
      <numFmt numFmtId="14"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font>
        <b/>
        <color theme="1"/>
      </font>
      <border>
        <bottom style="thin">
          <color theme="5"/>
        </bottom>
        <vertical/>
        <horizontal/>
      </border>
    </dxf>
    <dxf>
      <font>
        <sz val="7"/>
        <color theme="1"/>
      </font>
      <fill>
        <patternFill patternType="none">
          <bgColor auto="1"/>
        </patternFill>
      </fill>
      <border diagonalUp="0" diagonalDown="0">
        <left/>
        <right/>
        <top/>
        <bottom/>
        <vertical/>
        <horizontal/>
      </border>
    </dxf>
  </dxfs>
  <tableStyles count="1" defaultTableStyle="TableStyleMedium2" defaultPivotStyle="PivotStyleLight16">
    <tableStyle name="My style" pivot="0" table="0" count="10" xr9:uid="{AFEE3DF5-755C-4C8B-AF35-9567191B4B41}">
      <tableStyleElement type="wholeTable" dxfId="17"/>
      <tableStyleElement type="headerRow" dxfId="1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1.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report!PivotTable9</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dLbl>
          <c:idx val="0"/>
          <c:tx>
            <c:rich>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7809C416-2A6E-4756-9AB4-214821FAAB96}" type="CELLRANGE">
                  <a:rPr lang="en-US"/>
                  <a:pPr>
                    <a:defRPr sz="5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3"/>
        <c:dLbl>
          <c:idx val="0"/>
          <c:tx>
            <c:rich>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A0F91FB6-5C35-4E41-B645-BA018A528E74}" type="CELLRANGE">
                  <a:rPr lang="en-US"/>
                  <a:pPr>
                    <a:defRPr sz="5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1.1713367782296735E-2"/>
          <c:y val="0.31347581552305964"/>
          <c:w val="0.81593125485337659"/>
          <c:h val="0.31286951631046117"/>
        </c:manualLayout>
      </c:layout>
      <c:barChart>
        <c:barDir val="bar"/>
        <c:grouping val="clustered"/>
        <c:varyColors val="0"/>
        <c:ser>
          <c:idx val="0"/>
          <c:order val="0"/>
          <c:tx>
            <c:strRef>
              <c:f>'pivot report'!$C$53:$C$54</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4-A0D5-4E96-814D-290EBC21568A}"/>
              </c:ext>
            </c:extLst>
          </c:dPt>
          <c:dPt>
            <c:idx val="1"/>
            <c:invertIfNegative val="0"/>
            <c:bubble3D val="0"/>
            <c:extLst>
              <c:ext xmlns:c16="http://schemas.microsoft.com/office/drawing/2014/chart" uri="{C3380CC4-5D6E-409C-BE32-E72D297353CC}">
                <c16:uniqueId val="{00000005-A0D5-4E96-814D-290EBC21568A}"/>
              </c:ext>
            </c:extLst>
          </c:dPt>
          <c:dLbls>
            <c:dLbl>
              <c:idx val="0"/>
              <c:tx>
                <c:rich>
                  <a:bodyPr/>
                  <a:lstStyle/>
                  <a:p>
                    <a:fld id="{7809C416-2A6E-4756-9AB4-214821FAAB9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0D5-4E96-814D-290EBC21568A}"/>
                </c:ext>
              </c:extLst>
            </c:dLbl>
            <c:dLbl>
              <c:idx val="1"/>
              <c:tx>
                <c:rich>
                  <a:bodyPr/>
                  <a:lstStyle/>
                  <a:p>
                    <a:fld id="{A0F91FB6-5C35-4E41-B645-BA018A528E7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0D5-4E96-814D-290EBC21568A}"/>
                </c:ext>
              </c:extLst>
            </c:dLbl>
            <c:spPr>
              <a:noFill/>
              <a:ln>
                <a:noFill/>
              </a:ln>
              <a:effectLst/>
            </c:spPr>
            <c:txPr>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'pivot report'!$C$53:$C$54</c:f>
              <c:strCache>
                <c:ptCount val="2"/>
                <c:pt idx="0">
                  <c:v>admitted</c:v>
                </c:pt>
                <c:pt idx="1">
                  <c:v>not admitted</c:v>
                </c:pt>
              </c:strCache>
            </c:strRef>
          </c:cat>
          <c:val>
            <c:numRef>
              <c:f>'pivot report'!$C$53:$C$54</c:f>
              <c:numCache>
                <c:formatCode>0</c:formatCode>
                <c:ptCount val="2"/>
                <c:pt idx="0">
                  <c:v>269</c:v>
                </c:pt>
                <c:pt idx="1">
                  <c:v>244</c:v>
                </c:pt>
              </c:numCache>
            </c:numRef>
          </c:val>
          <c:extLst>
            <c:ext xmlns:c15="http://schemas.microsoft.com/office/drawing/2012/chart" uri="{02D57815-91ED-43cb-92C2-25804820EDAC}">
              <c15:datalabelsRange>
                <c15:f>'pivot report'!$C$53:$C$54</c15:f>
                <c15:dlblRangeCache>
                  <c:ptCount val="2"/>
                  <c:pt idx="0">
                    <c:v>52.44%</c:v>
                  </c:pt>
                  <c:pt idx="1">
                    <c:v>47.56%</c:v>
                  </c:pt>
                </c15:dlblRangeCache>
              </c15:datalabelsRange>
            </c:ext>
            <c:ext xmlns:c16="http://schemas.microsoft.com/office/drawing/2014/chart" uri="{C3380CC4-5D6E-409C-BE32-E72D297353CC}">
              <c16:uniqueId val="{00000000-A0D5-4E96-814D-290EBC21568A}"/>
            </c:ext>
          </c:extLst>
        </c:ser>
        <c:ser>
          <c:idx val="1"/>
          <c:order val="1"/>
          <c:tx>
            <c:strRef>
              <c:f>'pivot report'!$C$53:$C$54</c:f>
              <c:strCache>
                <c:ptCount val="1"/>
                <c:pt idx="0">
                  <c:v>Count of Patient Admission Flag2</c:v>
                </c:pt>
              </c:strCache>
            </c:strRef>
          </c:tx>
          <c:spPr>
            <a:solidFill>
              <a:schemeClr val="accent2"/>
            </a:solidFill>
            <a:ln>
              <a:noFill/>
            </a:ln>
            <a:effectLst/>
          </c:spPr>
          <c:invertIfNegative val="0"/>
          <c:cat>
            <c:strRef>
              <c:f>'pivot report'!$C$53:$C$54</c:f>
              <c:strCache>
                <c:ptCount val="2"/>
                <c:pt idx="0">
                  <c:v>admitted</c:v>
                </c:pt>
                <c:pt idx="1">
                  <c:v>not admitted</c:v>
                </c:pt>
              </c:strCache>
            </c:strRef>
          </c:cat>
          <c:val>
            <c:numRef>
              <c:f>'pivot report'!$C$53:$C$54</c:f>
              <c:numCache>
                <c:formatCode>0.00%</c:formatCode>
                <c:ptCount val="2"/>
                <c:pt idx="0">
                  <c:v>0.52436647173489281</c:v>
                </c:pt>
                <c:pt idx="1">
                  <c:v>0.47563352826510719</c:v>
                </c:pt>
              </c:numCache>
            </c:numRef>
          </c:val>
          <c:extLst>
            <c:ext xmlns:c16="http://schemas.microsoft.com/office/drawing/2014/chart" uri="{C3380CC4-5D6E-409C-BE32-E72D297353CC}">
              <c16:uniqueId val="{00000001-A0D5-4E96-814D-290EBC21568A}"/>
            </c:ext>
          </c:extLst>
        </c:ser>
        <c:dLbls>
          <c:showLegendKey val="0"/>
          <c:showVal val="0"/>
          <c:showCatName val="0"/>
          <c:showSerName val="0"/>
          <c:showPercent val="0"/>
          <c:showBubbleSize val="0"/>
        </c:dLbls>
        <c:gapWidth val="0"/>
        <c:axId val="1957639360"/>
        <c:axId val="1957649440"/>
      </c:barChart>
      <c:catAx>
        <c:axId val="1957639360"/>
        <c:scaling>
          <c:orientation val="minMax"/>
        </c:scaling>
        <c:delete val="1"/>
        <c:axPos val="l"/>
        <c:numFmt formatCode="General" sourceLinked="1"/>
        <c:majorTickMark val="none"/>
        <c:minorTickMark val="none"/>
        <c:tickLblPos val="nextTo"/>
        <c:crossAx val="1957649440"/>
        <c:crosses val="autoZero"/>
        <c:auto val="1"/>
        <c:lblAlgn val="ctr"/>
        <c:lblOffset val="100"/>
        <c:noMultiLvlLbl val="0"/>
      </c:catAx>
      <c:valAx>
        <c:axId val="1957649440"/>
        <c:scaling>
          <c:orientation val="minMax"/>
        </c:scaling>
        <c:delete val="1"/>
        <c:axPos val="b"/>
        <c:numFmt formatCode="0" sourceLinked="1"/>
        <c:majorTickMark val="none"/>
        <c:minorTickMark val="none"/>
        <c:tickLblPos val="nextTo"/>
        <c:crossAx val="1957639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report!PivotTable6</c:name>
    <c:fmtId val="6"/>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
          <c:y val="2.6720786261197289E-2"/>
          <c:w val="1"/>
          <c:h val="0.97327932863220468"/>
        </c:manualLayout>
      </c:layout>
      <c:areaChart>
        <c:grouping val="standard"/>
        <c:varyColors val="0"/>
        <c:ser>
          <c:idx val="0"/>
          <c:order val="0"/>
          <c:tx>
            <c:strRef>
              <c:f>'pivot report'!$G$4</c:f>
              <c:strCache>
                <c:ptCount val="1"/>
                <c:pt idx="0">
                  <c:v>Total</c:v>
                </c:pt>
              </c:strCache>
            </c:strRef>
          </c:tx>
          <c:spPr>
            <a:solidFill>
              <a:schemeClr val="accent1"/>
            </a:solidFill>
            <a:ln w="25400">
              <a:noFill/>
            </a:ln>
            <a:effectLst/>
          </c:spPr>
          <c:cat>
            <c:strRef>
              <c:f>'pivot report'!$F$5:$F$36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report'!$G$5:$G$36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2-D4F5-4495-AAFF-0E3C728BA2E8}"/>
            </c:ext>
          </c:extLst>
        </c:ser>
        <c:dLbls>
          <c:showLegendKey val="0"/>
          <c:showVal val="0"/>
          <c:showCatName val="0"/>
          <c:showSerName val="0"/>
          <c:showPercent val="0"/>
          <c:showBubbleSize val="0"/>
        </c:dLbls>
        <c:axId val="552441376"/>
        <c:axId val="552442336"/>
      </c:areaChart>
      <c:catAx>
        <c:axId val="552441376"/>
        <c:scaling>
          <c:orientation val="minMax"/>
        </c:scaling>
        <c:delete val="1"/>
        <c:axPos val="b"/>
        <c:numFmt formatCode="General" sourceLinked="1"/>
        <c:majorTickMark val="out"/>
        <c:minorTickMark val="none"/>
        <c:tickLblPos val="nextTo"/>
        <c:crossAx val="552442336"/>
        <c:crosses val="autoZero"/>
        <c:auto val="1"/>
        <c:lblAlgn val="ctr"/>
        <c:lblOffset val="100"/>
        <c:noMultiLvlLbl val="0"/>
      </c:catAx>
      <c:valAx>
        <c:axId val="552442336"/>
        <c:scaling>
          <c:orientation val="minMax"/>
        </c:scaling>
        <c:delete val="1"/>
        <c:axPos val="l"/>
        <c:numFmt formatCode="General" sourceLinked="1"/>
        <c:majorTickMark val="none"/>
        <c:minorTickMark val="none"/>
        <c:tickLblPos val="nextTo"/>
        <c:crossAx val="552441376"/>
        <c:crosses val="autoZero"/>
        <c:crossBetween val="midCat"/>
      </c:valAx>
      <c:spPr>
        <a:solidFill>
          <a:schemeClr val="bg1">
            <a:lumMod val="95000"/>
          </a:schemeClr>
        </a:solidFill>
      </c:spPr>
    </c:plotArea>
    <c:plotVisOnly val="1"/>
    <c:dispBlanksAs val="zero"/>
    <c:showDLblsOverMax val="0"/>
    <c:extLst/>
  </c:chart>
  <c:spPr>
    <a:solidFill>
      <a:schemeClr val="bg1">
        <a:lumMod val="95000"/>
      </a:schemeClr>
    </a:solid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report!PivotTable7</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047484500943651E-3"/>
          <c:y val="2.0424797220019008E-2"/>
          <c:w val="0.99339525154990549"/>
          <c:h val="0.97037725183279799"/>
        </c:manualLayout>
      </c:layout>
      <c:areaChart>
        <c:grouping val="standard"/>
        <c:varyColors val="0"/>
        <c:ser>
          <c:idx val="0"/>
          <c:order val="0"/>
          <c:tx>
            <c:strRef>
              <c:f>'pivot report'!$M$4</c:f>
              <c:strCache>
                <c:ptCount val="1"/>
                <c:pt idx="0">
                  <c:v>Total</c:v>
                </c:pt>
              </c:strCache>
            </c:strRef>
          </c:tx>
          <c:spPr>
            <a:solidFill>
              <a:schemeClr val="accent1"/>
            </a:solidFill>
            <a:ln w="25400">
              <a:noFill/>
            </a:ln>
            <a:effectLst/>
          </c:spPr>
          <c:cat>
            <c:strRef>
              <c:f>'pivot report'!$L$5:$L$36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report'!$M$5:$M$36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2-2654-4C6C-9654-AA36F991A923}"/>
            </c:ext>
          </c:extLst>
        </c:ser>
        <c:dLbls>
          <c:showLegendKey val="0"/>
          <c:showVal val="0"/>
          <c:showCatName val="0"/>
          <c:showSerName val="0"/>
          <c:showPercent val="0"/>
          <c:showBubbleSize val="0"/>
        </c:dLbls>
        <c:axId val="552449056"/>
        <c:axId val="552434176"/>
      </c:areaChart>
      <c:catAx>
        <c:axId val="552449056"/>
        <c:scaling>
          <c:orientation val="minMax"/>
        </c:scaling>
        <c:delete val="1"/>
        <c:axPos val="b"/>
        <c:numFmt formatCode="General" sourceLinked="1"/>
        <c:majorTickMark val="out"/>
        <c:minorTickMark val="none"/>
        <c:tickLblPos val="nextTo"/>
        <c:crossAx val="552434176"/>
        <c:crosses val="autoZero"/>
        <c:auto val="1"/>
        <c:lblAlgn val="ctr"/>
        <c:lblOffset val="100"/>
        <c:noMultiLvlLbl val="0"/>
      </c:catAx>
      <c:valAx>
        <c:axId val="552434176"/>
        <c:scaling>
          <c:orientation val="minMax"/>
        </c:scaling>
        <c:delete val="1"/>
        <c:axPos val="l"/>
        <c:numFmt formatCode="0.00" sourceLinked="1"/>
        <c:majorTickMark val="none"/>
        <c:minorTickMark val="none"/>
        <c:tickLblPos val="nextTo"/>
        <c:crossAx val="552449056"/>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report!PivotTable7</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5892712929881573"/>
          <c:w val="0.9838307466915116"/>
          <c:h val="0.70004690142061943"/>
        </c:manualLayout>
      </c:layout>
      <c:areaChart>
        <c:grouping val="standard"/>
        <c:varyColors val="0"/>
        <c:ser>
          <c:idx val="0"/>
          <c:order val="0"/>
          <c:tx>
            <c:strRef>
              <c:f>'pivot report'!$M$4</c:f>
              <c:strCache>
                <c:ptCount val="1"/>
                <c:pt idx="0">
                  <c:v>Total</c:v>
                </c:pt>
              </c:strCache>
            </c:strRef>
          </c:tx>
          <c:spPr>
            <a:solidFill>
              <a:schemeClr val="accent1"/>
            </a:solidFill>
            <a:ln w="25400">
              <a:noFill/>
            </a:ln>
            <a:effectLst/>
          </c:spPr>
          <c:cat>
            <c:strRef>
              <c:f>'pivot report'!$L$5:$L$36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report'!$M$5:$M$36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2-8D41-4000-9729-010C65616B3C}"/>
            </c:ext>
          </c:extLst>
        </c:ser>
        <c:dLbls>
          <c:showLegendKey val="0"/>
          <c:showVal val="0"/>
          <c:showCatName val="0"/>
          <c:showSerName val="0"/>
          <c:showPercent val="0"/>
          <c:showBubbleSize val="0"/>
        </c:dLbls>
        <c:axId val="1957712800"/>
        <c:axId val="1957707040"/>
      </c:areaChart>
      <c:catAx>
        <c:axId val="1957712800"/>
        <c:scaling>
          <c:orientation val="minMax"/>
        </c:scaling>
        <c:delete val="1"/>
        <c:axPos val="b"/>
        <c:numFmt formatCode="General" sourceLinked="1"/>
        <c:majorTickMark val="out"/>
        <c:minorTickMark val="none"/>
        <c:tickLblPos val="nextTo"/>
        <c:crossAx val="1957707040"/>
        <c:crosses val="autoZero"/>
        <c:auto val="1"/>
        <c:lblAlgn val="ctr"/>
        <c:lblOffset val="100"/>
        <c:noMultiLvlLbl val="0"/>
      </c:catAx>
      <c:valAx>
        <c:axId val="1957707040"/>
        <c:scaling>
          <c:orientation val="minMax"/>
        </c:scaling>
        <c:delete val="1"/>
        <c:axPos val="l"/>
        <c:numFmt formatCode="0.00" sourceLinked="1"/>
        <c:majorTickMark val="none"/>
        <c:minorTickMark val="none"/>
        <c:tickLblPos val="nextTo"/>
        <c:crossAx val="19577128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report!PivotTable10</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248870799127411E-2"/>
          <c:y val="1.3417174828957433E-2"/>
          <c:w val="0.92254373686826641"/>
          <c:h val="0.74241348563411469"/>
        </c:manualLayout>
      </c:layout>
      <c:barChart>
        <c:barDir val="col"/>
        <c:grouping val="clustered"/>
        <c:varyColors val="0"/>
        <c:ser>
          <c:idx val="0"/>
          <c:order val="0"/>
          <c:tx>
            <c:strRef>
              <c:f>'pivot report'!$B$69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report'!$A$70:$A$78</c:f>
              <c:strCache>
                <c:ptCount val="8"/>
                <c:pt idx="0">
                  <c:v>0-09</c:v>
                </c:pt>
                <c:pt idx="1">
                  <c:v>10-19</c:v>
                </c:pt>
                <c:pt idx="2">
                  <c:v>20-29</c:v>
                </c:pt>
                <c:pt idx="3">
                  <c:v>30-39</c:v>
                </c:pt>
                <c:pt idx="4">
                  <c:v>40-49</c:v>
                </c:pt>
                <c:pt idx="5">
                  <c:v>50-59</c:v>
                </c:pt>
                <c:pt idx="6">
                  <c:v>60-69</c:v>
                </c:pt>
                <c:pt idx="7">
                  <c:v>70-79</c:v>
                </c:pt>
              </c:strCache>
            </c:strRef>
          </c:cat>
          <c:val>
            <c:numRef>
              <c:f>'pivot report'!$B$70:$B$78</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2-A0F7-45EC-BF2F-FB62E8DBDAC8}"/>
            </c:ext>
          </c:extLst>
        </c:ser>
        <c:dLbls>
          <c:dLblPos val="outEnd"/>
          <c:showLegendKey val="0"/>
          <c:showVal val="1"/>
          <c:showCatName val="0"/>
          <c:showSerName val="0"/>
          <c:showPercent val="0"/>
          <c:showBubbleSize val="0"/>
        </c:dLbls>
        <c:gapWidth val="219"/>
        <c:overlap val="-27"/>
        <c:axId val="1957651840"/>
        <c:axId val="1957652320"/>
      </c:barChart>
      <c:catAx>
        <c:axId val="195765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57652320"/>
        <c:crosses val="autoZero"/>
        <c:auto val="1"/>
        <c:lblAlgn val="ctr"/>
        <c:lblOffset val="100"/>
        <c:noMultiLvlLbl val="0"/>
      </c:catAx>
      <c:valAx>
        <c:axId val="1957652320"/>
        <c:scaling>
          <c:orientation val="minMax"/>
        </c:scaling>
        <c:delete val="1"/>
        <c:axPos val="l"/>
        <c:numFmt formatCode="0" sourceLinked="1"/>
        <c:majorTickMark val="none"/>
        <c:minorTickMark val="none"/>
        <c:tickLblPos val="nextTo"/>
        <c:crossAx val="1957651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report!PivotTable11</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20197836354324608"/>
          <c:y val="0.15538720281324059"/>
          <c:w val="0.63017381534144712"/>
          <c:h val="0.70579421346556626"/>
        </c:manualLayout>
      </c:layout>
      <c:pieChart>
        <c:varyColors val="1"/>
        <c:ser>
          <c:idx val="0"/>
          <c:order val="0"/>
          <c:tx>
            <c:strRef>
              <c:f>'pivot report'!$B$87</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FB29-480E-885E-A659321D472C}"/>
              </c:ext>
            </c:extLst>
          </c:dPt>
          <c:dPt>
            <c:idx val="1"/>
            <c:bubble3D val="0"/>
            <c:spPr>
              <a:solidFill>
                <a:schemeClr val="accent2"/>
              </a:solidFill>
              <a:ln>
                <a:noFill/>
              </a:ln>
              <a:effectLst/>
            </c:spPr>
            <c:extLst>
              <c:ext xmlns:c16="http://schemas.microsoft.com/office/drawing/2014/chart" uri="{C3380CC4-5D6E-409C-BE32-E72D297353CC}">
                <c16:uniqueId val="{00000003-FB29-480E-885E-A659321D472C}"/>
              </c:ext>
            </c:extLst>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report'!$A$88:$A$90</c:f>
              <c:strCache>
                <c:ptCount val="2"/>
                <c:pt idx="0">
                  <c:v>Delay</c:v>
                </c:pt>
                <c:pt idx="1">
                  <c:v>Ontime</c:v>
                </c:pt>
              </c:strCache>
            </c:strRef>
          </c:cat>
          <c:val>
            <c:numRef>
              <c:f>'pivot report'!$B$88:$B$90</c:f>
              <c:numCache>
                <c:formatCode>0</c:formatCode>
                <c:ptCount val="2"/>
                <c:pt idx="0">
                  <c:v>316</c:v>
                </c:pt>
                <c:pt idx="1">
                  <c:v>197</c:v>
                </c:pt>
              </c:numCache>
            </c:numRef>
          </c:val>
          <c:extLst>
            <c:ext xmlns:c16="http://schemas.microsoft.com/office/drawing/2014/chart" uri="{C3380CC4-5D6E-409C-BE32-E72D297353CC}">
              <c16:uniqueId val="{00000006-2B4C-435F-8F19-58D6800952E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3.9252219507324698E-3"/>
          <c:y val="1.0812076813355375E-2"/>
          <c:w val="0.84489716861227993"/>
          <c:h val="0.12091595491640413"/>
        </c:manualLayout>
      </c:layout>
      <c:overlay val="0"/>
      <c:spPr>
        <a:solidFill>
          <a:schemeClr val="bg1">
            <a:lumMod val="95000"/>
          </a:schemeClr>
        </a:solid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report!PivotTable12</c:name>
    <c:fmtId val="19"/>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7990253337489109"/>
          <c:y val="0.1755654456236449"/>
          <c:w val="0.72209194953640721"/>
          <c:h val="0.67892365628209517"/>
        </c:manualLayout>
      </c:layout>
      <c:doughnutChart>
        <c:varyColors val="1"/>
        <c:ser>
          <c:idx val="0"/>
          <c:order val="0"/>
          <c:tx>
            <c:strRef>
              <c:f>'pivot report'!$B$97</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561C-4731-8207-6EFB6C43C7AC}"/>
              </c:ext>
            </c:extLst>
          </c:dPt>
          <c:dPt>
            <c:idx val="1"/>
            <c:bubble3D val="0"/>
            <c:spPr>
              <a:solidFill>
                <a:schemeClr val="accent2"/>
              </a:solidFill>
              <a:ln>
                <a:noFill/>
              </a:ln>
              <a:effectLst/>
            </c:spPr>
            <c:extLst>
              <c:ext xmlns:c16="http://schemas.microsoft.com/office/drawing/2014/chart" uri="{C3380CC4-5D6E-409C-BE32-E72D297353CC}">
                <c16:uniqueId val="{00000003-561C-4731-8207-6EFB6C43C7AC}"/>
              </c:ext>
            </c:extLst>
          </c:dPt>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report'!$A$98:$A$100</c:f>
              <c:strCache>
                <c:ptCount val="2"/>
                <c:pt idx="0">
                  <c:v>Female</c:v>
                </c:pt>
                <c:pt idx="1">
                  <c:v>Male</c:v>
                </c:pt>
              </c:strCache>
            </c:strRef>
          </c:cat>
          <c:val>
            <c:numRef>
              <c:f>'pivot report'!$B$98:$B$100</c:f>
              <c:numCache>
                <c:formatCode>0</c:formatCode>
                <c:ptCount val="2"/>
                <c:pt idx="0">
                  <c:v>241</c:v>
                </c:pt>
                <c:pt idx="1">
                  <c:v>272</c:v>
                </c:pt>
              </c:numCache>
            </c:numRef>
          </c:val>
          <c:extLst>
            <c:ext xmlns:c16="http://schemas.microsoft.com/office/drawing/2014/chart" uri="{C3380CC4-5D6E-409C-BE32-E72D297353CC}">
              <c16:uniqueId val="{00000006-8F79-476D-8D0E-2F5A56A19E40}"/>
            </c:ext>
          </c:extLst>
        </c:ser>
        <c:dLbls>
          <c:showLegendKey val="0"/>
          <c:showVal val="0"/>
          <c:showCatName val="0"/>
          <c:showSerName val="0"/>
          <c:showPercent val="1"/>
          <c:showBubbleSize val="0"/>
          <c:showLeaderLines val="1"/>
        </c:dLbls>
        <c:firstSliceAng val="0"/>
        <c:holeSize val="48"/>
      </c:doughnutChart>
      <c:spPr>
        <a:noFill/>
        <a:ln>
          <a:noFill/>
        </a:ln>
        <a:effectLst/>
      </c:spPr>
    </c:plotArea>
    <c:legend>
      <c:legendPos val="r"/>
      <c:layout>
        <c:manualLayout>
          <c:xMode val="edge"/>
          <c:yMode val="edge"/>
          <c:x val="0.12834173713528907"/>
          <c:y val="7.0450758872532254E-3"/>
          <c:w val="0.76493240546815156"/>
          <c:h val="0.1391304347826087"/>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report!PivotTable13</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66779471714972"/>
          <c:y val="9.5782353969619788E-2"/>
          <c:w val="0.63197453509800627"/>
          <c:h val="0.80843529206076048"/>
        </c:manualLayout>
      </c:layout>
      <c:barChart>
        <c:barDir val="bar"/>
        <c:grouping val="clustered"/>
        <c:varyColors val="0"/>
        <c:ser>
          <c:idx val="0"/>
          <c:order val="0"/>
          <c:tx>
            <c:strRef>
              <c:f>'pivot report'!$B$107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report'!$A$108:$A$116</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report'!$B$108:$B$116</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2-BF2B-4E75-970A-91B003A91999}"/>
            </c:ext>
          </c:extLst>
        </c:ser>
        <c:dLbls>
          <c:showLegendKey val="0"/>
          <c:showVal val="0"/>
          <c:showCatName val="0"/>
          <c:showSerName val="0"/>
          <c:showPercent val="0"/>
          <c:showBubbleSize val="0"/>
        </c:dLbls>
        <c:gapWidth val="30"/>
        <c:axId val="1957709920"/>
        <c:axId val="1957693600"/>
      </c:barChart>
      <c:catAx>
        <c:axId val="1957709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957693600"/>
        <c:crosses val="autoZero"/>
        <c:auto val="1"/>
        <c:lblAlgn val="ctr"/>
        <c:lblOffset val="100"/>
        <c:noMultiLvlLbl val="0"/>
      </c:catAx>
      <c:valAx>
        <c:axId val="1957693600"/>
        <c:scaling>
          <c:orientation val="minMax"/>
        </c:scaling>
        <c:delete val="1"/>
        <c:axPos val="b"/>
        <c:numFmt formatCode="0" sourceLinked="1"/>
        <c:majorTickMark val="none"/>
        <c:minorTickMark val="none"/>
        <c:tickLblPos val="nextTo"/>
        <c:crossAx val="195770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report!PivotTable7</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3900104748428846"/>
          <c:w val="1"/>
          <c:h val="0.65430960554558126"/>
        </c:manualLayout>
      </c:layout>
      <c:areaChart>
        <c:grouping val="standard"/>
        <c:varyColors val="0"/>
        <c:ser>
          <c:idx val="0"/>
          <c:order val="0"/>
          <c:tx>
            <c:strRef>
              <c:f>'pivot report'!$M$4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report'!$L$5:$L$36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report'!$M$5:$M$36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1-748D-4546-8CA9-3713C9CFBB4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52449056"/>
        <c:axId val="552434176"/>
      </c:areaChart>
      <c:catAx>
        <c:axId val="55244905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52434176"/>
        <c:crosses val="autoZero"/>
        <c:auto val="1"/>
        <c:lblAlgn val="ctr"/>
        <c:lblOffset val="100"/>
        <c:noMultiLvlLbl val="0"/>
      </c:catAx>
      <c:valAx>
        <c:axId val="552434176"/>
        <c:scaling>
          <c:orientation val="minMax"/>
        </c:scaling>
        <c:delete val="1"/>
        <c:axPos val="l"/>
        <c:numFmt formatCode="0.00" sourceLinked="1"/>
        <c:majorTickMark val="out"/>
        <c:minorTickMark val="none"/>
        <c:tickLblPos val="nextTo"/>
        <c:crossAx val="5524490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report!PivotTable6</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98401303033728E-2"/>
          <c:y val="0.20147178477690286"/>
          <c:w val="0.95602198208328626"/>
          <c:h val="0.62039140419947525"/>
        </c:manualLayout>
      </c:layout>
      <c:areaChart>
        <c:grouping val="standard"/>
        <c:varyColors val="0"/>
        <c:ser>
          <c:idx val="0"/>
          <c:order val="0"/>
          <c:tx>
            <c:strRef>
              <c:f>'pivot report'!$G$4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report'!$F$5:$F$36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report'!$G$5:$G$36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1-23EE-4B83-B2CA-39DF343A86A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52441376"/>
        <c:axId val="552442336"/>
      </c:areaChart>
      <c:catAx>
        <c:axId val="55244137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52442336"/>
        <c:crosses val="autoZero"/>
        <c:auto val="1"/>
        <c:lblAlgn val="ctr"/>
        <c:lblOffset val="100"/>
        <c:noMultiLvlLbl val="0"/>
      </c:catAx>
      <c:valAx>
        <c:axId val="552442336"/>
        <c:scaling>
          <c:orientation val="minMax"/>
        </c:scaling>
        <c:delete val="1"/>
        <c:axPos val="l"/>
        <c:numFmt formatCode="General" sourceLinked="1"/>
        <c:majorTickMark val="out"/>
        <c:minorTickMark val="none"/>
        <c:tickLblPos val="nextTo"/>
        <c:crossAx val="552441376"/>
        <c:crosses val="autoZero"/>
        <c:crossBetween val="midCat"/>
      </c:valAx>
      <c:spPr>
        <a:noFill/>
        <a:ln>
          <a:noFill/>
        </a:ln>
        <a:effectLst/>
      </c:spPr>
    </c:plotArea>
    <c:plotVisOnly val="1"/>
    <c:dispBlanksAs val="zero"/>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report!PivotTable7</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552364490294945E-2"/>
          <c:y val="0.23664357270656483"/>
          <c:w val="0.94906330365595193"/>
          <c:h val="0.6218738423462834"/>
        </c:manualLayout>
      </c:layout>
      <c:areaChart>
        <c:grouping val="standard"/>
        <c:varyColors val="0"/>
        <c:ser>
          <c:idx val="0"/>
          <c:order val="0"/>
          <c:tx>
            <c:strRef>
              <c:f>'pivot report'!$M$4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report'!$L$5:$L$36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report'!$M$5:$M$36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1-B8D6-479B-8209-F77A1232196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57712800"/>
        <c:axId val="1957707040"/>
      </c:areaChart>
      <c:catAx>
        <c:axId val="195771280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57707040"/>
        <c:crosses val="autoZero"/>
        <c:auto val="1"/>
        <c:lblAlgn val="ctr"/>
        <c:lblOffset val="100"/>
        <c:noMultiLvlLbl val="0"/>
      </c:catAx>
      <c:valAx>
        <c:axId val="1957707040"/>
        <c:scaling>
          <c:orientation val="minMax"/>
        </c:scaling>
        <c:delete val="1"/>
        <c:axPos val="l"/>
        <c:numFmt formatCode="0.00" sourceLinked="1"/>
        <c:majorTickMark val="out"/>
        <c:minorTickMark val="none"/>
        <c:tickLblPos val="nextTo"/>
        <c:crossAx val="19577128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s'!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cification score daily tren'!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2" Type="http://schemas.openxmlformats.org/officeDocument/2006/relationships/image" Target="../media/image10.emf"/><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3174</xdr:colOff>
      <xdr:row>56</xdr:row>
      <xdr:rowOff>165100</xdr:rowOff>
    </xdr:from>
    <xdr:to>
      <xdr:col>4</xdr:col>
      <xdr:colOff>215900</xdr:colOff>
      <xdr:row>61</xdr:row>
      <xdr:rowOff>101600</xdr:rowOff>
    </xdr:to>
    <xdr:graphicFrame macro="">
      <xdr:nvGraphicFramePr>
        <xdr:cNvPr id="8" name="Chart 7">
          <a:extLst>
            <a:ext uri="{FF2B5EF4-FFF2-40B4-BE49-F238E27FC236}">
              <a16:creationId xmlns:a16="http://schemas.microsoft.com/office/drawing/2014/main" id="{0F2B6052-F9AA-2B2E-F9F2-5F46C52B9C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352425</xdr:colOff>
      <xdr:row>124</xdr:row>
      <xdr:rowOff>126999</xdr:rowOff>
    </xdr:from>
    <xdr:to>
      <xdr:col>4</xdr:col>
      <xdr:colOff>396875</xdr:colOff>
      <xdr:row>130</xdr:row>
      <xdr:rowOff>127000</xdr:rowOff>
    </xdr:to>
    <mc:AlternateContent xmlns:mc="http://schemas.openxmlformats.org/markup-compatibility/2006" xmlns:a14="http://schemas.microsoft.com/office/drawing/2010/main">
      <mc:Choice Requires="a14">
        <xdr:graphicFrame macro="">
          <xdr:nvGraphicFramePr>
            <xdr:cNvPr id="13" name="Date (Year)">
              <a:extLst>
                <a:ext uri="{FF2B5EF4-FFF2-40B4-BE49-F238E27FC236}">
                  <a16:creationId xmlns:a16="http://schemas.microsoft.com/office/drawing/2014/main" id="{D3FBDD37-B51E-0DEA-9FFE-A56BB97B21C8}"/>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2238375" y="23647399"/>
              <a:ext cx="1828800" cy="1143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67234</xdr:colOff>
      <xdr:row>0</xdr:row>
      <xdr:rowOff>56030</xdr:rowOff>
    </xdr:from>
    <xdr:to>
      <xdr:col>5</xdr:col>
      <xdr:colOff>229721</xdr:colOff>
      <xdr:row>2</xdr:row>
      <xdr:rowOff>184150</xdr:rowOff>
    </xdr:to>
    <xdr:sp macro="" textlink="">
      <xdr:nvSpPr>
        <xdr:cNvPr id="2" name="Rectangle: Rounded Corners 1">
          <a:extLst>
            <a:ext uri="{FF2B5EF4-FFF2-40B4-BE49-F238E27FC236}">
              <a16:creationId xmlns:a16="http://schemas.microsoft.com/office/drawing/2014/main" id="{A9624DEF-34B1-869D-17BB-15D32F87AF79}"/>
            </a:ext>
          </a:extLst>
        </xdr:cNvPr>
        <xdr:cNvSpPr/>
      </xdr:nvSpPr>
      <xdr:spPr>
        <a:xfrm>
          <a:off x="67234" y="56030"/>
          <a:ext cx="3210487" cy="50912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100">
            <a:solidFill>
              <a:schemeClr val="lt1"/>
            </a:solidFill>
            <a:latin typeface="+mn-lt"/>
            <a:ea typeface="+mn-ea"/>
            <a:cs typeface="+mn-cs"/>
          </a:endParaRPr>
        </a:p>
      </xdr:txBody>
    </xdr:sp>
    <xdr:clientData/>
  </xdr:twoCellAnchor>
  <xdr:twoCellAnchor editAs="absolute">
    <xdr:from>
      <xdr:col>5</xdr:col>
      <xdr:colOff>321236</xdr:colOff>
      <xdr:row>0</xdr:row>
      <xdr:rowOff>39221</xdr:rowOff>
    </xdr:from>
    <xdr:to>
      <xdr:col>7</xdr:col>
      <xdr:colOff>203200</xdr:colOff>
      <xdr:row>2</xdr:row>
      <xdr:rowOff>184150</xdr:rowOff>
    </xdr:to>
    <xdr:sp macro="" textlink="">
      <xdr:nvSpPr>
        <xdr:cNvPr id="5" name="Rectangle: Rounded Corners 4">
          <a:extLst>
            <a:ext uri="{FF2B5EF4-FFF2-40B4-BE49-F238E27FC236}">
              <a16:creationId xmlns:a16="http://schemas.microsoft.com/office/drawing/2014/main" id="{328209BA-DF7E-4615-95AA-7DAA6329CAE8}"/>
            </a:ext>
          </a:extLst>
        </xdr:cNvPr>
        <xdr:cNvSpPr/>
      </xdr:nvSpPr>
      <xdr:spPr>
        <a:xfrm>
          <a:off x="3369236" y="39221"/>
          <a:ext cx="1101164" cy="525929"/>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297259</xdr:colOff>
      <xdr:row>0</xdr:row>
      <xdr:rowOff>35719</xdr:rowOff>
    </xdr:from>
    <xdr:to>
      <xdr:col>9</xdr:col>
      <xdr:colOff>363140</xdr:colOff>
      <xdr:row>6</xdr:row>
      <xdr:rowOff>179155</xdr:rowOff>
    </xdr:to>
    <xdr:sp macro="" textlink="">
      <xdr:nvSpPr>
        <xdr:cNvPr id="6" name="Rectangle: Rounded Corners 5">
          <a:extLst>
            <a:ext uri="{FF2B5EF4-FFF2-40B4-BE49-F238E27FC236}">
              <a16:creationId xmlns:a16="http://schemas.microsoft.com/office/drawing/2014/main" id="{37F4EA3B-8FB2-4CEE-B5D8-23D886CD6AB4}"/>
            </a:ext>
          </a:extLst>
        </xdr:cNvPr>
        <xdr:cNvSpPr/>
      </xdr:nvSpPr>
      <xdr:spPr>
        <a:xfrm>
          <a:off x="4547790" y="35719"/>
          <a:ext cx="1280319" cy="1286436"/>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51922</xdr:colOff>
      <xdr:row>3</xdr:row>
      <xdr:rowOff>107950</xdr:rowOff>
    </xdr:from>
    <xdr:to>
      <xdr:col>1</xdr:col>
      <xdr:colOff>124759</xdr:colOff>
      <xdr:row>15</xdr:row>
      <xdr:rowOff>146051</xdr:rowOff>
    </xdr:to>
    <xdr:sp macro="" textlink="">
      <xdr:nvSpPr>
        <xdr:cNvPr id="7" name="Rectangle: Rounded Corners 6">
          <a:extLst>
            <a:ext uri="{FF2B5EF4-FFF2-40B4-BE49-F238E27FC236}">
              <a16:creationId xmlns:a16="http://schemas.microsoft.com/office/drawing/2014/main" id="{37088D94-6933-4584-BC7C-9D3E852161CA}"/>
            </a:ext>
          </a:extLst>
        </xdr:cNvPr>
        <xdr:cNvSpPr/>
      </xdr:nvSpPr>
      <xdr:spPr>
        <a:xfrm>
          <a:off x="51922" y="679450"/>
          <a:ext cx="682437" cy="2324101"/>
        </a:xfrm>
        <a:prstGeom prst="roundRect">
          <a:avLst>
            <a:gd name="adj" fmla="val 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9</xdr:col>
      <xdr:colOff>443100</xdr:colOff>
      <xdr:row>0</xdr:row>
      <xdr:rowOff>41673</xdr:rowOff>
    </xdr:from>
    <xdr:to>
      <xdr:col>11</xdr:col>
      <xdr:colOff>434579</xdr:colOff>
      <xdr:row>6</xdr:row>
      <xdr:rowOff>154783</xdr:rowOff>
    </xdr:to>
    <xdr:sp macro="" textlink="">
      <xdr:nvSpPr>
        <xdr:cNvPr id="8" name="Rectangle: Rounded Corners 7">
          <a:extLst>
            <a:ext uri="{FF2B5EF4-FFF2-40B4-BE49-F238E27FC236}">
              <a16:creationId xmlns:a16="http://schemas.microsoft.com/office/drawing/2014/main" id="{FCA34B9C-0AE5-4410-B377-C9B729D99B95}"/>
            </a:ext>
          </a:extLst>
        </xdr:cNvPr>
        <xdr:cNvSpPr/>
      </xdr:nvSpPr>
      <xdr:spPr>
        <a:xfrm>
          <a:off x="5908069" y="41673"/>
          <a:ext cx="1205916" cy="125611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222997</xdr:colOff>
      <xdr:row>3</xdr:row>
      <xdr:rowOff>98985</xdr:rowOff>
    </xdr:from>
    <xdr:to>
      <xdr:col>7</xdr:col>
      <xdr:colOff>165100</xdr:colOff>
      <xdr:row>6</xdr:row>
      <xdr:rowOff>160618</xdr:rowOff>
    </xdr:to>
    <xdr:grpSp>
      <xdr:nvGrpSpPr>
        <xdr:cNvPr id="20" name="Group 19">
          <a:extLst>
            <a:ext uri="{FF2B5EF4-FFF2-40B4-BE49-F238E27FC236}">
              <a16:creationId xmlns:a16="http://schemas.microsoft.com/office/drawing/2014/main" id="{8A7E3FF0-9A91-0282-35A4-8213810B410E}"/>
            </a:ext>
          </a:extLst>
        </xdr:cNvPr>
        <xdr:cNvGrpSpPr/>
      </xdr:nvGrpSpPr>
      <xdr:grpSpPr>
        <a:xfrm>
          <a:off x="830216" y="670485"/>
          <a:ext cx="3585415" cy="633133"/>
          <a:chOff x="794497" y="543485"/>
          <a:chExt cx="3294529" cy="633133"/>
        </a:xfrm>
      </xdr:grpSpPr>
      <xdr:sp macro="" textlink="">
        <xdr:nvSpPr>
          <xdr:cNvPr id="9" name="Rectangle: Rounded Corners 8">
            <a:extLst>
              <a:ext uri="{FF2B5EF4-FFF2-40B4-BE49-F238E27FC236}">
                <a16:creationId xmlns:a16="http://schemas.microsoft.com/office/drawing/2014/main" id="{13571A03-561E-465C-A646-19190134EC18}"/>
              </a:ext>
            </a:extLst>
          </xdr:cNvPr>
          <xdr:cNvSpPr/>
        </xdr:nvSpPr>
        <xdr:spPr>
          <a:xfrm>
            <a:off x="794497" y="543485"/>
            <a:ext cx="1033250" cy="633133"/>
          </a:xfrm>
          <a:prstGeom prst="roundRect">
            <a:avLst>
              <a:gd name="adj" fmla="val 0"/>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5970F98C-2F9A-4B8D-8644-5D9EF30811FF}"/>
              </a:ext>
            </a:extLst>
          </xdr:cNvPr>
          <xdr:cNvSpPr/>
        </xdr:nvSpPr>
        <xdr:spPr>
          <a:xfrm>
            <a:off x="1918980" y="543485"/>
            <a:ext cx="1033250" cy="633133"/>
          </a:xfrm>
          <a:prstGeom prst="roundRect">
            <a:avLst>
              <a:gd name="adj" fmla="val 0"/>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sp macro="" textlink="">
        <xdr:nvSpPr>
          <xdr:cNvPr id="13" name="Rectangle: Rounded Corners 12">
            <a:extLst>
              <a:ext uri="{FF2B5EF4-FFF2-40B4-BE49-F238E27FC236}">
                <a16:creationId xmlns:a16="http://schemas.microsoft.com/office/drawing/2014/main" id="{118A4669-922C-4CED-9585-8C14F4894800}"/>
              </a:ext>
            </a:extLst>
          </xdr:cNvPr>
          <xdr:cNvSpPr/>
        </xdr:nvSpPr>
        <xdr:spPr>
          <a:xfrm>
            <a:off x="3055777" y="543485"/>
            <a:ext cx="1033249" cy="633133"/>
          </a:xfrm>
          <a:prstGeom prst="roundRect">
            <a:avLst>
              <a:gd name="adj" fmla="val 0"/>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grpSp>
    <xdr:clientData/>
  </xdr:twoCellAnchor>
  <xdr:twoCellAnchor editAs="absolute">
    <xdr:from>
      <xdr:col>1</xdr:col>
      <xdr:colOff>181535</xdr:colOff>
      <xdr:row>10</xdr:row>
      <xdr:rowOff>13448</xdr:rowOff>
    </xdr:from>
    <xdr:to>
      <xdr:col>7</xdr:col>
      <xdr:colOff>158750</xdr:colOff>
      <xdr:row>15</xdr:row>
      <xdr:rowOff>133350</xdr:rowOff>
    </xdr:to>
    <xdr:sp macro="" textlink="">
      <xdr:nvSpPr>
        <xdr:cNvPr id="18" name="Rectangle: Rounded Corners 17">
          <a:extLst>
            <a:ext uri="{FF2B5EF4-FFF2-40B4-BE49-F238E27FC236}">
              <a16:creationId xmlns:a16="http://schemas.microsoft.com/office/drawing/2014/main" id="{C72F4442-EFEE-64A4-8F31-C461F02805A4}"/>
            </a:ext>
          </a:extLst>
        </xdr:cNvPr>
        <xdr:cNvSpPr/>
      </xdr:nvSpPr>
      <xdr:spPr>
        <a:xfrm>
          <a:off x="788754" y="1918448"/>
          <a:ext cx="3620527" cy="1072402"/>
        </a:xfrm>
        <a:prstGeom prst="roundRect">
          <a:avLst>
            <a:gd name="adj" fmla="val 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311150</xdr:colOff>
      <xdr:row>7</xdr:row>
      <xdr:rowOff>29767</xdr:rowOff>
    </xdr:from>
    <xdr:to>
      <xdr:col>11</xdr:col>
      <xdr:colOff>434578</xdr:colOff>
      <xdr:row>15</xdr:row>
      <xdr:rowOff>120651</xdr:rowOff>
    </xdr:to>
    <xdr:sp macro="" textlink="">
      <xdr:nvSpPr>
        <xdr:cNvPr id="27" name="Rectangle: Rounded Corners 26">
          <a:extLst>
            <a:ext uri="{FF2B5EF4-FFF2-40B4-BE49-F238E27FC236}">
              <a16:creationId xmlns:a16="http://schemas.microsoft.com/office/drawing/2014/main" id="{4B2EFABD-07C0-B48D-498E-7752D543914C}"/>
            </a:ext>
          </a:extLst>
        </xdr:cNvPr>
        <xdr:cNvSpPr/>
      </xdr:nvSpPr>
      <xdr:spPr>
        <a:xfrm>
          <a:off x="4561681" y="1363267"/>
          <a:ext cx="2552303" cy="161488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6350</xdr:colOff>
      <xdr:row>1</xdr:row>
      <xdr:rowOff>95250</xdr:rowOff>
    </xdr:from>
    <xdr:ext cx="184731" cy="264560"/>
    <xdr:sp macro="" textlink="">
      <xdr:nvSpPr>
        <xdr:cNvPr id="36" name="TextBox 35">
          <a:extLst>
            <a:ext uri="{FF2B5EF4-FFF2-40B4-BE49-F238E27FC236}">
              <a16:creationId xmlns:a16="http://schemas.microsoft.com/office/drawing/2014/main" id="{59206590-C439-A872-1F0B-2911E77DC15E}"/>
            </a:ext>
          </a:extLst>
        </xdr:cNvPr>
        <xdr:cNvSpPr txBox="1"/>
      </xdr:nvSpPr>
      <xdr:spPr>
        <a:xfrm>
          <a:off x="2444750" y="285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absolute">
    <xdr:from>
      <xdr:col>1</xdr:col>
      <xdr:colOff>133350</xdr:colOff>
      <xdr:row>0</xdr:row>
      <xdr:rowOff>114301</xdr:rowOff>
    </xdr:from>
    <xdr:to>
      <xdr:col>4</xdr:col>
      <xdr:colOff>552450</xdr:colOff>
      <xdr:row>1</xdr:row>
      <xdr:rowOff>177801</xdr:rowOff>
    </xdr:to>
    <xdr:sp macro="" textlink="">
      <xdr:nvSpPr>
        <xdr:cNvPr id="37" name="TextBox 36">
          <a:extLst>
            <a:ext uri="{FF2B5EF4-FFF2-40B4-BE49-F238E27FC236}">
              <a16:creationId xmlns:a16="http://schemas.microsoft.com/office/drawing/2014/main" id="{0F49E3E0-903E-AC9F-279C-AE35A9D98C6D}"/>
            </a:ext>
          </a:extLst>
        </xdr:cNvPr>
        <xdr:cNvSpPr txBox="1"/>
      </xdr:nvSpPr>
      <xdr:spPr>
        <a:xfrm>
          <a:off x="742950" y="114301"/>
          <a:ext cx="22479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a:t>Hospital Emergency Room Dashboard</a:t>
          </a:r>
        </a:p>
      </xdr:txBody>
    </xdr:sp>
    <xdr:clientData/>
  </xdr:twoCellAnchor>
  <xdr:twoCellAnchor editAs="oneCell">
    <xdr:from>
      <xdr:col>0</xdr:col>
      <xdr:colOff>139700</xdr:colOff>
      <xdr:row>0</xdr:row>
      <xdr:rowOff>107156</xdr:rowOff>
    </xdr:from>
    <xdr:to>
      <xdr:col>1</xdr:col>
      <xdr:colOff>158750</xdr:colOff>
      <xdr:row>2</xdr:row>
      <xdr:rowOff>158750</xdr:rowOff>
    </xdr:to>
    <xdr:pic>
      <xdr:nvPicPr>
        <xdr:cNvPr id="39" name="Picture 38">
          <a:extLst>
            <a:ext uri="{FF2B5EF4-FFF2-40B4-BE49-F238E27FC236}">
              <a16:creationId xmlns:a16="http://schemas.microsoft.com/office/drawing/2014/main" id="{633C4C6F-B175-8EEF-8981-5BDE5B826C2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4049" t="14149" r="4133" b="-796"/>
        <a:stretch>
          <a:fillRect/>
        </a:stretch>
      </xdr:blipFill>
      <xdr:spPr>
        <a:xfrm>
          <a:off x="139700" y="107156"/>
          <a:ext cx="626269" cy="432594"/>
        </a:xfrm>
        <a:prstGeom prst="rect">
          <a:avLst/>
        </a:prstGeom>
      </xdr:spPr>
    </xdr:pic>
    <xdr:clientData/>
  </xdr:twoCellAnchor>
  <xdr:oneCellAnchor>
    <xdr:from>
      <xdr:col>1</xdr:col>
      <xdr:colOff>241300</xdr:colOff>
      <xdr:row>4</xdr:row>
      <xdr:rowOff>139700</xdr:rowOff>
    </xdr:from>
    <xdr:ext cx="1079500" cy="228600"/>
    <xdr:sp macro="" textlink="">
      <xdr:nvSpPr>
        <xdr:cNvPr id="46" name="TextBox 45">
          <a:extLst>
            <a:ext uri="{FF2B5EF4-FFF2-40B4-BE49-F238E27FC236}">
              <a16:creationId xmlns:a16="http://schemas.microsoft.com/office/drawing/2014/main" id="{034E4B39-DFA7-E31B-FA45-DE8A54BDB534}"/>
            </a:ext>
          </a:extLst>
        </xdr:cNvPr>
        <xdr:cNvSpPr txBox="1"/>
      </xdr:nvSpPr>
      <xdr:spPr>
        <a:xfrm>
          <a:off x="850900" y="901700"/>
          <a:ext cx="1079500" cy="228600"/>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800" baseline="0"/>
            <a:t>No of patient</a:t>
          </a:r>
        </a:p>
        <a:p>
          <a:endParaRPr lang="en-US" sz="1100"/>
        </a:p>
      </xdr:txBody>
    </xdr:sp>
    <xdr:clientData/>
  </xdr:oneCellAnchor>
  <xdr:twoCellAnchor>
    <xdr:from>
      <xdr:col>1</xdr:col>
      <xdr:colOff>215900</xdr:colOff>
      <xdr:row>3</xdr:row>
      <xdr:rowOff>98985</xdr:rowOff>
    </xdr:from>
    <xdr:to>
      <xdr:col>3</xdr:col>
      <xdr:colOff>63500</xdr:colOff>
      <xdr:row>4</xdr:row>
      <xdr:rowOff>165100</xdr:rowOff>
    </xdr:to>
    <xdr:sp macro="" textlink="'pivot report'!A5">
      <xdr:nvSpPr>
        <xdr:cNvPr id="48" name="Rectangle: Rounded Corners 47">
          <a:extLst>
            <a:ext uri="{FF2B5EF4-FFF2-40B4-BE49-F238E27FC236}">
              <a16:creationId xmlns:a16="http://schemas.microsoft.com/office/drawing/2014/main" id="{96E39C1D-67C8-4145-BBAF-8250E59B9437}"/>
            </a:ext>
          </a:extLst>
        </xdr:cNvPr>
        <xdr:cNvSpPr/>
      </xdr:nvSpPr>
      <xdr:spPr>
        <a:xfrm>
          <a:off x="825500" y="670485"/>
          <a:ext cx="1066800" cy="256615"/>
        </a:xfrm>
        <a:prstGeom prst="roundRect">
          <a:avLst>
            <a:gd name="adj" fmla="val 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E2872E3-D4C7-4747-BBDF-07C949225FFD}" type="TxLink">
            <a:rPr lang="en-US" sz="1100" b="0" i="0" u="none" strike="noStrike">
              <a:solidFill>
                <a:srgbClr val="000000"/>
              </a:solidFill>
              <a:latin typeface="Calibri"/>
              <a:ea typeface="Calibri"/>
              <a:cs typeface="Calibri"/>
            </a:rPr>
            <a:pPr algn="ctr"/>
            <a:t>513</a:t>
          </a:fld>
          <a:endParaRPr lang="en-US" sz="1100"/>
        </a:p>
      </xdr:txBody>
    </xdr:sp>
    <xdr:clientData/>
  </xdr:twoCellAnchor>
  <xdr:oneCellAnchor>
    <xdr:from>
      <xdr:col>3</xdr:col>
      <xdr:colOff>266700</xdr:colOff>
      <xdr:row>4</xdr:row>
      <xdr:rowOff>152400</xdr:rowOff>
    </xdr:from>
    <xdr:ext cx="1079500" cy="228600"/>
    <xdr:sp macro="" textlink="">
      <xdr:nvSpPr>
        <xdr:cNvPr id="55" name="TextBox 54">
          <a:extLst>
            <a:ext uri="{FF2B5EF4-FFF2-40B4-BE49-F238E27FC236}">
              <a16:creationId xmlns:a16="http://schemas.microsoft.com/office/drawing/2014/main" id="{08B54863-F542-F208-ABB4-68D29710C8D5}"/>
            </a:ext>
          </a:extLst>
        </xdr:cNvPr>
        <xdr:cNvSpPr txBox="1"/>
      </xdr:nvSpPr>
      <xdr:spPr>
        <a:xfrm>
          <a:off x="2095500" y="914400"/>
          <a:ext cx="1079500" cy="228600"/>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800" baseline="0"/>
            <a:t>Average Wait Time</a:t>
          </a:r>
        </a:p>
        <a:p>
          <a:endParaRPr lang="en-US" sz="1100"/>
        </a:p>
      </xdr:txBody>
    </xdr:sp>
    <xdr:clientData/>
  </xdr:oneCellAnchor>
  <xdr:twoCellAnchor>
    <xdr:from>
      <xdr:col>3</xdr:col>
      <xdr:colOff>254000</xdr:colOff>
      <xdr:row>3</xdr:row>
      <xdr:rowOff>118035</xdr:rowOff>
    </xdr:from>
    <xdr:to>
      <xdr:col>5</xdr:col>
      <xdr:colOff>101600</xdr:colOff>
      <xdr:row>4</xdr:row>
      <xdr:rowOff>184150</xdr:rowOff>
    </xdr:to>
    <xdr:sp macro="" textlink="'pivot report'!A10">
      <xdr:nvSpPr>
        <xdr:cNvPr id="56" name="Rectangle: Rounded Corners 55">
          <a:extLst>
            <a:ext uri="{FF2B5EF4-FFF2-40B4-BE49-F238E27FC236}">
              <a16:creationId xmlns:a16="http://schemas.microsoft.com/office/drawing/2014/main" id="{5F05E93E-9AB8-EE5D-86E3-1A1BE61CF7AA}"/>
            </a:ext>
          </a:extLst>
        </xdr:cNvPr>
        <xdr:cNvSpPr/>
      </xdr:nvSpPr>
      <xdr:spPr>
        <a:xfrm>
          <a:off x="2082800" y="689535"/>
          <a:ext cx="1066800" cy="256615"/>
        </a:xfrm>
        <a:prstGeom prst="roundRect">
          <a:avLst>
            <a:gd name="adj" fmla="val 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681E60E-711D-44F5-95A8-00C35FCF09BF}" type="TxLink">
            <a:rPr lang="en-US" sz="1100" b="0" i="0" u="none" strike="noStrike">
              <a:solidFill>
                <a:srgbClr val="000000"/>
              </a:solidFill>
              <a:latin typeface="Calibri"/>
              <a:ea typeface="Calibri"/>
              <a:cs typeface="Calibri"/>
            </a:rPr>
            <a:pPr algn="ctr"/>
            <a:t>36.32</a:t>
          </a:fld>
          <a:endParaRPr lang="en-US" sz="1100"/>
        </a:p>
      </xdr:txBody>
    </xdr:sp>
    <xdr:clientData/>
  </xdr:twoCellAnchor>
  <xdr:oneCellAnchor>
    <xdr:from>
      <xdr:col>5</xdr:col>
      <xdr:colOff>292100</xdr:colOff>
      <xdr:row>4</xdr:row>
      <xdr:rowOff>146050</xdr:rowOff>
    </xdr:from>
    <xdr:ext cx="1085850" cy="215900"/>
    <xdr:sp macro="" textlink="">
      <xdr:nvSpPr>
        <xdr:cNvPr id="57" name="TextBox 56">
          <a:extLst>
            <a:ext uri="{FF2B5EF4-FFF2-40B4-BE49-F238E27FC236}">
              <a16:creationId xmlns:a16="http://schemas.microsoft.com/office/drawing/2014/main" id="{E018FB9B-0505-E7A1-A98B-00ABAB93C4C2}"/>
            </a:ext>
          </a:extLst>
        </xdr:cNvPr>
        <xdr:cNvSpPr txBox="1"/>
      </xdr:nvSpPr>
      <xdr:spPr>
        <a:xfrm>
          <a:off x="3340100" y="908050"/>
          <a:ext cx="1085850" cy="215900"/>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800" baseline="0"/>
            <a:t>Patient Satisfaction Score</a:t>
          </a:r>
        </a:p>
        <a:p>
          <a:endParaRPr lang="en-US" sz="1100"/>
        </a:p>
      </xdr:txBody>
    </xdr:sp>
    <xdr:clientData/>
  </xdr:oneCellAnchor>
  <xdr:twoCellAnchor>
    <xdr:from>
      <xdr:col>5</xdr:col>
      <xdr:colOff>285750</xdr:colOff>
      <xdr:row>3</xdr:row>
      <xdr:rowOff>113109</xdr:rowOff>
    </xdr:from>
    <xdr:to>
      <xdr:col>7</xdr:col>
      <xdr:colOff>133350</xdr:colOff>
      <xdr:row>4</xdr:row>
      <xdr:rowOff>158750</xdr:rowOff>
    </xdr:to>
    <xdr:sp macro="" textlink="'pivot report'!A14">
      <xdr:nvSpPr>
        <xdr:cNvPr id="58" name="Rectangle: Rounded Corners 57">
          <a:extLst>
            <a:ext uri="{FF2B5EF4-FFF2-40B4-BE49-F238E27FC236}">
              <a16:creationId xmlns:a16="http://schemas.microsoft.com/office/drawing/2014/main" id="{87F5B3A5-6B62-873A-19C3-8136E1C54E19}"/>
            </a:ext>
          </a:extLst>
        </xdr:cNvPr>
        <xdr:cNvSpPr/>
      </xdr:nvSpPr>
      <xdr:spPr>
        <a:xfrm>
          <a:off x="3321844" y="684609"/>
          <a:ext cx="1062037" cy="236141"/>
        </a:xfrm>
        <a:prstGeom prst="roundRect">
          <a:avLst>
            <a:gd name="adj" fmla="val 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817E31D-E152-4262-BAAB-F4B28F4A7AA1}" type="TxLink">
            <a:rPr lang="en-US" sz="1100" b="0" i="0" u="none" strike="noStrike">
              <a:solidFill>
                <a:srgbClr val="000000"/>
              </a:solidFill>
              <a:latin typeface="Calibri"/>
              <a:ea typeface="Calibri"/>
              <a:cs typeface="Calibri"/>
            </a:rPr>
            <a:pPr algn="ctr"/>
            <a:t>4.96</a:t>
          </a:fld>
          <a:endParaRPr lang="en-US" sz="1100"/>
        </a:p>
      </xdr:txBody>
    </xdr:sp>
    <xdr:clientData/>
  </xdr:twoCellAnchor>
  <xdr:twoCellAnchor editAs="oneCell">
    <xdr:from>
      <xdr:col>2</xdr:col>
      <xdr:colOff>436562</xdr:colOff>
      <xdr:row>3</xdr:row>
      <xdr:rowOff>96520</xdr:rowOff>
    </xdr:from>
    <xdr:to>
      <xdr:col>3</xdr:col>
      <xdr:colOff>127000</xdr:colOff>
      <xdr:row>4</xdr:row>
      <xdr:rowOff>146050</xdr:rowOff>
    </xdr:to>
    <xdr:pic>
      <xdr:nvPicPr>
        <xdr:cNvPr id="60" name="Graphic 59" descr="Male profile with solid fill">
          <a:extLst>
            <a:ext uri="{FF2B5EF4-FFF2-40B4-BE49-F238E27FC236}">
              <a16:creationId xmlns:a16="http://schemas.microsoft.com/office/drawing/2014/main" id="{512BE05D-DD2F-8F92-645E-00D7332B8BA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55762" y="668020"/>
          <a:ext cx="300038" cy="240030"/>
        </a:xfrm>
        <a:prstGeom prst="rect">
          <a:avLst/>
        </a:prstGeom>
      </xdr:spPr>
    </xdr:pic>
    <xdr:clientData/>
  </xdr:twoCellAnchor>
  <xdr:twoCellAnchor editAs="oneCell">
    <xdr:from>
      <xdr:col>4</xdr:col>
      <xdr:colOff>406400</xdr:colOff>
      <xdr:row>3</xdr:row>
      <xdr:rowOff>139700</xdr:rowOff>
    </xdr:from>
    <xdr:to>
      <xdr:col>5</xdr:col>
      <xdr:colOff>158750</xdr:colOff>
      <xdr:row>4</xdr:row>
      <xdr:rowOff>114300</xdr:rowOff>
    </xdr:to>
    <xdr:pic>
      <xdr:nvPicPr>
        <xdr:cNvPr id="62" name="Graphic 61" descr="Hourglass Finished with solid fill">
          <a:extLst>
            <a:ext uri="{FF2B5EF4-FFF2-40B4-BE49-F238E27FC236}">
              <a16:creationId xmlns:a16="http://schemas.microsoft.com/office/drawing/2014/main" id="{95FC9510-9441-116A-0661-07E07C21774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844800" y="711200"/>
          <a:ext cx="361950" cy="165100"/>
        </a:xfrm>
        <a:prstGeom prst="rect">
          <a:avLst/>
        </a:prstGeom>
      </xdr:spPr>
    </xdr:pic>
    <xdr:clientData/>
  </xdr:twoCellAnchor>
  <xdr:twoCellAnchor editAs="oneCell">
    <xdr:from>
      <xdr:col>6</xdr:col>
      <xdr:colOff>374650</xdr:colOff>
      <xdr:row>3</xdr:row>
      <xdr:rowOff>69850</xdr:rowOff>
    </xdr:from>
    <xdr:to>
      <xdr:col>7</xdr:col>
      <xdr:colOff>146050</xdr:colOff>
      <xdr:row>4</xdr:row>
      <xdr:rowOff>127000</xdr:rowOff>
    </xdr:to>
    <xdr:pic>
      <xdr:nvPicPr>
        <xdr:cNvPr id="64" name="Graphic 63" descr="Boardroom with solid fill">
          <a:extLst>
            <a:ext uri="{FF2B5EF4-FFF2-40B4-BE49-F238E27FC236}">
              <a16:creationId xmlns:a16="http://schemas.microsoft.com/office/drawing/2014/main" id="{0BC844CA-F10E-B607-4972-5909B87D29D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032250" y="641350"/>
          <a:ext cx="381000" cy="247650"/>
        </a:xfrm>
        <a:prstGeom prst="rect">
          <a:avLst/>
        </a:prstGeom>
      </xdr:spPr>
    </xdr:pic>
    <xdr:clientData/>
  </xdr:twoCellAnchor>
  <xdr:twoCellAnchor editAs="oneCell">
    <xdr:from>
      <xdr:col>0</xdr:col>
      <xdr:colOff>69850</xdr:colOff>
      <xdr:row>3</xdr:row>
      <xdr:rowOff>160734</xdr:rowOff>
    </xdr:from>
    <xdr:to>
      <xdr:col>1</xdr:col>
      <xdr:colOff>88900</xdr:colOff>
      <xdr:row>15</xdr:row>
      <xdr:rowOff>114300</xdr:rowOff>
    </xdr:to>
    <mc:AlternateContent xmlns:mc="http://schemas.openxmlformats.org/markup-compatibility/2006" xmlns:a14="http://schemas.microsoft.com/office/drawing/2010/main">
      <mc:Choice Requires="a14">
        <xdr:graphicFrame macro="">
          <xdr:nvGraphicFramePr>
            <xdr:cNvPr id="66" name="Date (Month) 1">
              <a:extLst>
                <a:ext uri="{FF2B5EF4-FFF2-40B4-BE49-F238E27FC236}">
                  <a16:creationId xmlns:a16="http://schemas.microsoft.com/office/drawing/2014/main" id="{6C41D347-55DF-49B5-A38E-1A3439D37544}"/>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69850" y="732234"/>
              <a:ext cx="626269" cy="22395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226217</xdr:colOff>
      <xdr:row>5</xdr:row>
      <xdr:rowOff>160733</xdr:rowOff>
    </xdr:from>
    <xdr:to>
      <xdr:col>3</xdr:col>
      <xdr:colOff>125016</xdr:colOff>
      <xdr:row>6</xdr:row>
      <xdr:rowOff>154780</xdr:rowOff>
    </xdr:to>
    <xdr:graphicFrame macro="">
      <xdr:nvGraphicFramePr>
        <xdr:cNvPr id="68" name="Chart 67">
          <a:hlinkClick xmlns:r="http://schemas.openxmlformats.org/officeDocument/2006/relationships" r:id="rId8"/>
          <a:extLst>
            <a:ext uri="{FF2B5EF4-FFF2-40B4-BE49-F238E27FC236}">
              <a16:creationId xmlns:a16="http://schemas.microsoft.com/office/drawing/2014/main" id="{94F901C5-1067-467D-9490-05989BDD71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232173</xdr:colOff>
      <xdr:row>5</xdr:row>
      <xdr:rowOff>154781</xdr:rowOff>
    </xdr:from>
    <xdr:to>
      <xdr:col>5</xdr:col>
      <xdr:colOff>142875</xdr:colOff>
      <xdr:row>6</xdr:row>
      <xdr:rowOff>154778</xdr:rowOff>
    </xdr:to>
    <xdr:graphicFrame macro="">
      <xdr:nvGraphicFramePr>
        <xdr:cNvPr id="69" name="Chart 68">
          <a:hlinkClick xmlns:r="http://schemas.openxmlformats.org/officeDocument/2006/relationships" r:id="rId10"/>
          <a:extLst>
            <a:ext uri="{FF2B5EF4-FFF2-40B4-BE49-F238E27FC236}">
              <a16:creationId xmlns:a16="http://schemas.microsoft.com/office/drawing/2014/main" id="{B5EFEEE5-52EB-48DC-8746-5482B4936B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261936</xdr:colOff>
      <xdr:row>5</xdr:row>
      <xdr:rowOff>142876</xdr:rowOff>
    </xdr:from>
    <xdr:to>
      <xdr:col>7</xdr:col>
      <xdr:colOff>160735</xdr:colOff>
      <xdr:row>6</xdr:row>
      <xdr:rowOff>148828</xdr:rowOff>
    </xdr:to>
    <xdr:graphicFrame macro="">
      <xdr:nvGraphicFramePr>
        <xdr:cNvPr id="70" name="Chart 69">
          <a:hlinkClick xmlns:r="http://schemas.openxmlformats.org/officeDocument/2006/relationships" r:id="rId12"/>
          <a:extLst>
            <a:ext uri="{FF2B5EF4-FFF2-40B4-BE49-F238E27FC236}">
              <a16:creationId xmlns:a16="http://schemas.microsoft.com/office/drawing/2014/main" id="{688B6316-CEC8-424D-936A-E3CD0ABA52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160733</xdr:colOff>
          <xdr:row>7</xdr:row>
          <xdr:rowOff>35719</xdr:rowOff>
        </xdr:from>
        <xdr:to>
          <xdr:col>7</xdr:col>
          <xdr:colOff>187721</xdr:colOff>
          <xdr:row>9</xdr:row>
          <xdr:rowOff>175419</xdr:rowOff>
        </xdr:to>
        <xdr:pic>
          <xdr:nvPicPr>
            <xdr:cNvPr id="102" name="Picture 101">
              <a:extLst>
                <a:ext uri="{FF2B5EF4-FFF2-40B4-BE49-F238E27FC236}">
                  <a16:creationId xmlns:a16="http://schemas.microsoft.com/office/drawing/2014/main" id="{62AE3D04-D42D-575D-05EF-8C21A560FF69}"/>
                </a:ext>
              </a:extLst>
            </xdr:cNvPr>
            <xdr:cNvPicPr>
              <a:picLocks noChangeAspect="1" noChangeArrowheads="1"/>
              <a:extLst>
                <a:ext uri="{84589F7E-364E-4C9E-8A38-B11213B215E9}">
                  <a14:cameraTool cellRange="'pivot report'!$A$58:$D$60" spid="_x0000_s2156"/>
                </a:ext>
              </a:extLst>
            </xdr:cNvPicPr>
          </xdr:nvPicPr>
          <xdr:blipFill>
            <a:blip xmlns:r="http://schemas.openxmlformats.org/officeDocument/2006/relationships" r:embed="rId14"/>
            <a:srcRect/>
            <a:stretch>
              <a:fillRect/>
            </a:stretch>
          </xdr:blipFill>
          <xdr:spPr bwMode="auto">
            <a:xfrm>
              <a:off x="767952" y="1369219"/>
              <a:ext cx="3670300" cy="52070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mc:Choice>
    <mc:Fallback/>
  </mc:AlternateContent>
  <xdr:twoCellAnchor>
    <xdr:from>
      <xdr:col>1</xdr:col>
      <xdr:colOff>202406</xdr:colOff>
      <xdr:row>10</xdr:row>
      <xdr:rowOff>17859</xdr:rowOff>
    </xdr:from>
    <xdr:to>
      <xdr:col>7</xdr:col>
      <xdr:colOff>142876</xdr:colOff>
      <xdr:row>15</xdr:row>
      <xdr:rowOff>113109</xdr:rowOff>
    </xdr:to>
    <xdr:graphicFrame macro="">
      <xdr:nvGraphicFramePr>
        <xdr:cNvPr id="103" name="Chart 102">
          <a:extLst>
            <a:ext uri="{FF2B5EF4-FFF2-40B4-BE49-F238E27FC236}">
              <a16:creationId xmlns:a16="http://schemas.microsoft.com/office/drawing/2014/main" id="{E64DAE48-C65A-4CF7-BCA4-E786B7518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oneCellAnchor>
    <xdr:from>
      <xdr:col>2</xdr:col>
      <xdr:colOff>416718</xdr:colOff>
      <xdr:row>14</xdr:row>
      <xdr:rowOff>148828</xdr:rowOff>
    </xdr:from>
    <xdr:ext cx="1192609" cy="240507"/>
    <xdr:sp macro="" textlink="">
      <xdr:nvSpPr>
        <xdr:cNvPr id="104" name="TextBox 103">
          <a:extLst>
            <a:ext uri="{FF2B5EF4-FFF2-40B4-BE49-F238E27FC236}">
              <a16:creationId xmlns:a16="http://schemas.microsoft.com/office/drawing/2014/main" id="{E590DE93-C954-40DD-B28D-077C528DCC63}"/>
            </a:ext>
          </a:extLst>
        </xdr:cNvPr>
        <xdr:cNvSpPr txBox="1"/>
      </xdr:nvSpPr>
      <xdr:spPr>
        <a:xfrm>
          <a:off x="1631156" y="2815828"/>
          <a:ext cx="1192609" cy="2405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800" baseline="0"/>
            <a:t>No of patient by age group</a:t>
          </a:r>
        </a:p>
        <a:p>
          <a:endParaRPr lang="en-US" sz="1100"/>
        </a:p>
      </xdr:txBody>
    </xdr:sp>
    <xdr:clientData/>
  </xdr:oneCellAnchor>
  <xdr:twoCellAnchor>
    <xdr:from>
      <xdr:col>7</xdr:col>
      <xdr:colOff>327421</xdr:colOff>
      <xdr:row>0</xdr:row>
      <xdr:rowOff>113108</xdr:rowOff>
    </xdr:from>
    <xdr:to>
      <xdr:col>9</xdr:col>
      <xdr:colOff>279796</xdr:colOff>
      <xdr:row>6</xdr:row>
      <xdr:rowOff>11906</xdr:rowOff>
    </xdr:to>
    <xdr:graphicFrame macro="">
      <xdr:nvGraphicFramePr>
        <xdr:cNvPr id="105" name="Chart 104">
          <a:extLst>
            <a:ext uri="{FF2B5EF4-FFF2-40B4-BE49-F238E27FC236}">
              <a16:creationId xmlns:a16="http://schemas.microsoft.com/office/drawing/2014/main" id="{9A954DCD-7FB2-4013-85C6-694743F10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7</xdr:col>
      <xdr:colOff>357585</xdr:colOff>
      <xdr:row>5</xdr:row>
      <xdr:rowOff>89296</xdr:rowOff>
    </xdr:from>
    <xdr:ext cx="1079500" cy="205347"/>
    <xdr:sp macro="" textlink="">
      <xdr:nvSpPr>
        <xdr:cNvPr id="106" name="TextBox 105">
          <a:extLst>
            <a:ext uri="{FF2B5EF4-FFF2-40B4-BE49-F238E27FC236}">
              <a16:creationId xmlns:a16="http://schemas.microsoft.com/office/drawing/2014/main" id="{DE147D14-1E8E-4FA0-AA53-D75F34E9F37F}"/>
            </a:ext>
          </a:extLst>
        </xdr:cNvPr>
        <xdr:cNvSpPr txBox="1"/>
      </xdr:nvSpPr>
      <xdr:spPr>
        <a:xfrm>
          <a:off x="4608116" y="1041796"/>
          <a:ext cx="1079500" cy="2053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800" baseline="0"/>
            <a:t>patient attended Status</a:t>
          </a:r>
        </a:p>
        <a:p>
          <a:endParaRPr lang="en-US" sz="1100"/>
        </a:p>
      </xdr:txBody>
    </xdr:sp>
    <xdr:clientData/>
  </xdr:oneCellAnchor>
  <xdr:twoCellAnchor>
    <xdr:from>
      <xdr:col>9</xdr:col>
      <xdr:colOff>535781</xdr:colOff>
      <xdr:row>0</xdr:row>
      <xdr:rowOff>101203</xdr:rowOff>
    </xdr:from>
    <xdr:to>
      <xdr:col>11</xdr:col>
      <xdr:colOff>351235</xdr:colOff>
      <xdr:row>6</xdr:row>
      <xdr:rowOff>53578</xdr:rowOff>
    </xdr:to>
    <xdr:graphicFrame macro="">
      <xdr:nvGraphicFramePr>
        <xdr:cNvPr id="107" name="Chart 106">
          <a:extLst>
            <a:ext uri="{FF2B5EF4-FFF2-40B4-BE49-F238E27FC236}">
              <a16:creationId xmlns:a16="http://schemas.microsoft.com/office/drawing/2014/main" id="{F5939FBF-6B16-4AAC-8783-9B86E99C46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9</xdr:col>
      <xdr:colOff>562162</xdr:colOff>
      <xdr:row>5</xdr:row>
      <xdr:rowOff>95249</xdr:rowOff>
    </xdr:from>
    <xdr:ext cx="1003510" cy="186929"/>
    <xdr:sp macro="" textlink="">
      <xdr:nvSpPr>
        <xdr:cNvPr id="108" name="TextBox 107">
          <a:extLst>
            <a:ext uri="{FF2B5EF4-FFF2-40B4-BE49-F238E27FC236}">
              <a16:creationId xmlns:a16="http://schemas.microsoft.com/office/drawing/2014/main" id="{A6129504-C097-4445-8FCC-38F86EF3D9AB}"/>
            </a:ext>
          </a:extLst>
        </xdr:cNvPr>
        <xdr:cNvSpPr txBox="1"/>
      </xdr:nvSpPr>
      <xdr:spPr>
        <a:xfrm>
          <a:off x="6027131" y="1047749"/>
          <a:ext cx="1003510" cy="1869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800" baseline="0"/>
            <a:t>Gender Wise anlysis</a:t>
          </a:r>
        </a:p>
        <a:p>
          <a:pPr algn="ctr"/>
          <a:endParaRPr lang="en-US" sz="800" baseline="0"/>
        </a:p>
        <a:p>
          <a:endParaRPr lang="en-US" sz="1100"/>
        </a:p>
      </xdr:txBody>
    </xdr:sp>
    <xdr:clientData/>
  </xdr:oneCellAnchor>
  <xdr:twoCellAnchor>
    <xdr:from>
      <xdr:col>7</xdr:col>
      <xdr:colOff>452438</xdr:colOff>
      <xdr:row>7</xdr:row>
      <xdr:rowOff>83344</xdr:rowOff>
    </xdr:from>
    <xdr:to>
      <xdr:col>11</xdr:col>
      <xdr:colOff>261938</xdr:colOff>
      <xdr:row>15</xdr:row>
      <xdr:rowOff>17859</xdr:rowOff>
    </xdr:to>
    <xdr:graphicFrame macro="">
      <xdr:nvGraphicFramePr>
        <xdr:cNvPr id="109" name="Chart 108">
          <a:extLst>
            <a:ext uri="{FF2B5EF4-FFF2-40B4-BE49-F238E27FC236}">
              <a16:creationId xmlns:a16="http://schemas.microsoft.com/office/drawing/2014/main" id="{8B00790B-6058-44A6-A07C-23FB57C08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oneCellAnchor>
    <xdr:from>
      <xdr:col>8</xdr:col>
      <xdr:colOff>168274</xdr:colOff>
      <xdr:row>14</xdr:row>
      <xdr:rowOff>77392</xdr:rowOff>
    </xdr:from>
    <xdr:ext cx="1653381" cy="205347"/>
    <xdr:sp macro="" textlink="">
      <xdr:nvSpPr>
        <xdr:cNvPr id="110" name="TextBox 109">
          <a:extLst>
            <a:ext uri="{FF2B5EF4-FFF2-40B4-BE49-F238E27FC236}">
              <a16:creationId xmlns:a16="http://schemas.microsoft.com/office/drawing/2014/main" id="{6C373BAF-393C-4922-A6C5-48B101BA2508}"/>
            </a:ext>
          </a:extLst>
        </xdr:cNvPr>
        <xdr:cNvSpPr txBox="1"/>
      </xdr:nvSpPr>
      <xdr:spPr>
        <a:xfrm>
          <a:off x="5026024" y="2744392"/>
          <a:ext cx="1653381" cy="2053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800" baseline="0"/>
            <a:t>No of patient by Department Referal</a:t>
          </a:r>
        </a:p>
        <a:p>
          <a:pPr algn="ctr"/>
          <a:endParaRPr lang="en-US" sz="800" baseline="0"/>
        </a:p>
        <a:p>
          <a:endParaRPr lang="en-US" sz="1100"/>
        </a:p>
      </xdr:txBody>
    </xdr:sp>
    <xdr:clientData/>
  </xdr:oneCellAnchor>
  <xdr:twoCellAnchor editAs="oneCell">
    <xdr:from>
      <xdr:col>5</xdr:col>
      <xdr:colOff>357187</xdr:colOff>
      <xdr:row>0</xdr:row>
      <xdr:rowOff>71437</xdr:rowOff>
    </xdr:from>
    <xdr:to>
      <xdr:col>7</xdr:col>
      <xdr:colOff>172641</xdr:colOff>
      <xdr:row>2</xdr:row>
      <xdr:rowOff>148829</xdr:rowOff>
    </xdr:to>
    <mc:AlternateContent xmlns:mc="http://schemas.openxmlformats.org/markup-compatibility/2006" xmlns:a14="http://schemas.microsoft.com/office/drawing/2010/main">
      <mc:Choice Requires="a14">
        <xdr:graphicFrame macro="">
          <xdr:nvGraphicFramePr>
            <xdr:cNvPr id="111" name="Date (Year) 1">
              <a:extLst>
                <a:ext uri="{FF2B5EF4-FFF2-40B4-BE49-F238E27FC236}">
                  <a16:creationId xmlns:a16="http://schemas.microsoft.com/office/drawing/2014/main" id="{07251883-3E7E-4388-8201-8151327E457A}"/>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3393281" y="71437"/>
              <a:ext cx="1029891" cy="4583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xdr:col>
          <xdr:colOff>142875</xdr:colOff>
          <xdr:row>7</xdr:row>
          <xdr:rowOff>38100</xdr:rowOff>
        </xdr:from>
        <xdr:to>
          <xdr:col>7</xdr:col>
          <xdr:colOff>180975</xdr:colOff>
          <xdr:row>12</xdr:row>
          <xdr:rowOff>95250</xdr:rowOff>
        </xdr:to>
        <xdr:pic>
          <xdr:nvPicPr>
            <xdr:cNvPr id="2136" name="Picture 101">
              <a:extLst>
                <a:ext uri="{FF2B5EF4-FFF2-40B4-BE49-F238E27FC236}">
                  <a16:creationId xmlns:a16="http://schemas.microsoft.com/office/drawing/2014/main" id="{6F4ED927-3D34-F50D-7D85-C0D199DB15B8}"/>
                </a:ext>
              </a:extLst>
            </xdr:cNvPr>
            <xdr:cNvPicPr>
              <a:picLocks noChangeAspect="1" noChangeArrowheads="1"/>
              <a:extLst>
                <a:ext uri="{84589F7E-364E-4C9E-8A38-B11213B215E9}">
                  <a14:cameraTool cellRange="'pivot report'!$A$58:$D$60" spid="_x0000_s2157"/>
                </a:ext>
              </a:extLst>
            </xdr:cNvPicPr>
          </xdr:nvPicPr>
          <xdr:blipFill>
            <a:blip xmlns:r="http://schemas.openxmlformats.org/officeDocument/2006/relationships" r:embed="rId14"/>
            <a:srcRect/>
            <a:stretch>
              <a:fillRect/>
            </a:stretch>
          </xdr:blipFill>
          <xdr:spPr bwMode="auto">
            <a:xfrm>
              <a:off x="752475" y="1371600"/>
              <a:ext cx="3695700" cy="100965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472018</xdr:colOff>
      <xdr:row>0</xdr:row>
      <xdr:rowOff>179918</xdr:rowOff>
    </xdr:from>
    <xdr:to>
      <xdr:col>15</xdr:col>
      <xdr:colOff>603251</xdr:colOff>
      <xdr:row>18</xdr:row>
      <xdr:rowOff>152401</xdr:rowOff>
    </xdr:to>
    <xdr:graphicFrame macro="">
      <xdr:nvGraphicFramePr>
        <xdr:cNvPr id="2" name="Chart 1">
          <a:extLst>
            <a:ext uri="{FF2B5EF4-FFF2-40B4-BE49-F238E27FC236}">
              <a16:creationId xmlns:a16="http://schemas.microsoft.com/office/drawing/2014/main" id="{E94F7F26-F5A9-45E6-951E-7C31D9F7E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228600</xdr:colOff>
      <xdr:row>18</xdr:row>
      <xdr:rowOff>114300</xdr:rowOff>
    </xdr:from>
    <xdr:ext cx="9191625" cy="257175"/>
    <xdr:sp macro="" textlink="">
      <xdr:nvSpPr>
        <xdr:cNvPr id="4" name="TextBox 3">
          <a:extLst>
            <a:ext uri="{FF2B5EF4-FFF2-40B4-BE49-F238E27FC236}">
              <a16:creationId xmlns:a16="http://schemas.microsoft.com/office/drawing/2014/main" id="{CC66C3A0-0C6D-C512-8370-9837909E7B4B}"/>
            </a:ext>
          </a:extLst>
        </xdr:cNvPr>
        <xdr:cNvSpPr txBox="1"/>
      </xdr:nvSpPr>
      <xdr:spPr>
        <a:xfrm>
          <a:off x="228600" y="3543300"/>
          <a:ext cx="9191625" cy="257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a:t>Use an area Chart track daily changes and highlight</a:t>
          </a:r>
          <a:r>
            <a:rPr lang="en-US" sz="1200" b="1" baseline="0"/>
            <a:t> days with longer wait times that might need improvments</a:t>
          </a:r>
          <a:endParaRPr lang="en-US" sz="1200" b="1"/>
        </a:p>
      </xdr:txBody>
    </xdr:sp>
    <xdr:clientData/>
  </xdr:oneCellAnchor>
</xdr:wsDr>
</file>

<file path=xl/drawings/drawing4.xml><?xml version="1.0" encoding="utf-8"?>
<c:userShapes xmlns:c="http://schemas.openxmlformats.org/drawingml/2006/chart">
  <cdr:relSizeAnchor xmlns:cdr="http://schemas.openxmlformats.org/drawingml/2006/chartDrawing">
    <cdr:from>
      <cdr:x>0.00553</cdr:x>
      <cdr:y>0.01587</cdr:y>
    </cdr:from>
    <cdr:to>
      <cdr:x>0.05947</cdr:x>
      <cdr:y>0.16735</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BECBC88B-ED15-4602-EBD2-638F05ABF2E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495300" cy="484797"/>
        </a:xfrm>
        <a:prstGeom xmlns:a="http://schemas.openxmlformats.org/drawingml/2006/main" prst="rect">
          <a:avLst/>
        </a:prstGeom>
      </cdr:spPr>
    </cdr:pic>
  </cdr:relSizeAnchor>
  <cdr:relSizeAnchor xmlns:cdr="http://schemas.openxmlformats.org/drawingml/2006/chartDrawing">
    <cdr:from>
      <cdr:x>0.31525</cdr:x>
      <cdr:y>0.09607</cdr:y>
    </cdr:from>
    <cdr:to>
      <cdr:x>0.59684</cdr:x>
      <cdr:y>0.23624</cdr:y>
    </cdr:to>
    <cdr:sp macro="" textlink="">
      <cdr:nvSpPr>
        <cdr:cNvPr id="3" name="TextBox 2">
          <a:extLst xmlns:a="http://schemas.openxmlformats.org/drawingml/2006/main">
            <a:ext uri="{FF2B5EF4-FFF2-40B4-BE49-F238E27FC236}">
              <a16:creationId xmlns:a16="http://schemas.microsoft.com/office/drawing/2014/main" id="{0AB04474-33A4-02F7-73A9-09360702CB3F}"/>
            </a:ext>
          </a:extLst>
        </cdr:cNvPr>
        <cdr:cNvSpPr txBox="1"/>
      </cdr:nvSpPr>
      <cdr:spPr>
        <a:xfrm xmlns:a="http://schemas.openxmlformats.org/drawingml/2006/main">
          <a:off x="2914649" y="297392"/>
          <a:ext cx="2603500" cy="43391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0.38123</cdr:x>
      <cdr:y>0.13068</cdr:y>
    </cdr:from>
    <cdr:to>
      <cdr:x>0.47915</cdr:x>
      <cdr:y>0.32047</cdr:y>
    </cdr:to>
    <cdr:sp macro="" textlink="">
      <cdr:nvSpPr>
        <cdr:cNvPr id="4" name="TextBox 3">
          <a:extLst xmlns:a="http://schemas.openxmlformats.org/drawingml/2006/main">
            <a:ext uri="{FF2B5EF4-FFF2-40B4-BE49-F238E27FC236}">
              <a16:creationId xmlns:a16="http://schemas.microsoft.com/office/drawing/2014/main" id="{CB203B36-E031-4B97-D600-A6C390BF6139}"/>
            </a:ext>
          </a:extLst>
        </cdr:cNvPr>
        <cdr:cNvSpPr txBox="1"/>
      </cdr:nvSpPr>
      <cdr:spPr>
        <a:xfrm xmlns:a="http://schemas.openxmlformats.org/drawingml/2006/main">
          <a:off x="3560233" y="444500"/>
          <a:ext cx="914400" cy="64558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0.36423</cdr:x>
      <cdr:y>0.05289</cdr:y>
    </cdr:from>
    <cdr:to>
      <cdr:x>0.68722</cdr:x>
      <cdr:y>0.15246</cdr:y>
    </cdr:to>
    <cdr:sp macro="" textlink="">
      <cdr:nvSpPr>
        <cdr:cNvPr id="5" name="TextBox 4">
          <a:extLst xmlns:a="http://schemas.openxmlformats.org/drawingml/2006/main">
            <a:ext uri="{FF2B5EF4-FFF2-40B4-BE49-F238E27FC236}">
              <a16:creationId xmlns:a16="http://schemas.microsoft.com/office/drawing/2014/main" id="{F1ADB2D0-7ECF-4AF4-0E88-4B67AD7DECB9}"/>
            </a:ext>
          </a:extLst>
        </cdr:cNvPr>
        <cdr:cNvSpPr txBox="1"/>
      </cdr:nvSpPr>
      <cdr:spPr>
        <a:xfrm xmlns:a="http://schemas.openxmlformats.org/drawingml/2006/main">
          <a:off x="3401483" y="179916"/>
          <a:ext cx="3016250" cy="338667"/>
        </a:xfrm>
        <a:prstGeom xmlns:a="http://schemas.openxmlformats.org/drawingml/2006/main" prst="rect">
          <a:avLst/>
        </a:prstGeom>
        <a:solidFill xmlns:a="http://schemas.openxmlformats.org/drawingml/2006/main">
          <a:schemeClr val="bg1"/>
        </a:solidFill>
      </cdr:spPr>
      <cdr:txBody>
        <a:bodyPr xmlns:a="http://schemas.openxmlformats.org/drawingml/2006/main" vertOverflow="clip" wrap="square" rtlCol="0"/>
        <a:lstStyle xmlns:a="http://schemas.openxmlformats.org/drawingml/2006/main"/>
        <a:p xmlns:a="http://schemas.openxmlformats.org/drawingml/2006/main">
          <a:pPr algn="ctr"/>
          <a:r>
            <a:rPr lang="en-US" sz="1600" b="1" kern="1200"/>
            <a:t>Average Wait Time Daily Trend</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352424</xdr:colOff>
      <xdr:row>1</xdr:row>
      <xdr:rowOff>180975</xdr:rowOff>
    </xdr:from>
    <xdr:to>
      <xdr:col>12</xdr:col>
      <xdr:colOff>380999</xdr:colOff>
      <xdr:row>17</xdr:row>
      <xdr:rowOff>104774</xdr:rowOff>
    </xdr:to>
    <xdr:graphicFrame macro="">
      <xdr:nvGraphicFramePr>
        <xdr:cNvPr id="2" name="Chart 1">
          <a:hlinkClick xmlns:r="http://schemas.openxmlformats.org/officeDocument/2006/relationships" r:id="rId1"/>
          <a:extLst>
            <a:ext uri="{FF2B5EF4-FFF2-40B4-BE49-F238E27FC236}">
              <a16:creationId xmlns:a16="http://schemas.microsoft.com/office/drawing/2014/main" id="{1C1F929C-9686-4D13-97B4-BE01EA0E8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409575</xdr:colOff>
      <xdr:row>18</xdr:row>
      <xdr:rowOff>133350</xdr:rowOff>
    </xdr:from>
    <xdr:ext cx="184731" cy="264560"/>
    <xdr:sp macro="" textlink="">
      <xdr:nvSpPr>
        <xdr:cNvPr id="3" name="TextBox 2">
          <a:extLst>
            <a:ext uri="{FF2B5EF4-FFF2-40B4-BE49-F238E27FC236}">
              <a16:creationId xmlns:a16="http://schemas.microsoft.com/office/drawing/2014/main" id="{66E9A4E5-6343-FDB5-70FF-B1C244D0C5A8}"/>
            </a:ext>
          </a:extLst>
        </xdr:cNvPr>
        <xdr:cNvSpPr txBox="1"/>
      </xdr:nvSpPr>
      <xdr:spPr>
        <a:xfrm>
          <a:off x="1019175" y="3562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390525</xdr:colOff>
      <xdr:row>17</xdr:row>
      <xdr:rowOff>152400</xdr:rowOff>
    </xdr:from>
    <xdr:to>
      <xdr:col>12</xdr:col>
      <xdr:colOff>476250</xdr:colOff>
      <xdr:row>18</xdr:row>
      <xdr:rowOff>180975</xdr:rowOff>
    </xdr:to>
    <xdr:sp macro="" textlink="">
      <xdr:nvSpPr>
        <xdr:cNvPr id="4" name="TextBox 3">
          <a:extLst>
            <a:ext uri="{FF2B5EF4-FFF2-40B4-BE49-F238E27FC236}">
              <a16:creationId xmlns:a16="http://schemas.microsoft.com/office/drawing/2014/main" id="{6355E944-4523-7554-4195-9DED20F466A3}"/>
            </a:ext>
          </a:extLst>
        </xdr:cNvPr>
        <xdr:cNvSpPr txBox="1"/>
      </xdr:nvSpPr>
      <xdr:spPr>
        <a:xfrm>
          <a:off x="390525" y="3390900"/>
          <a:ext cx="7400925" cy="219075"/>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lgn="ctr">
            <a:buFont typeface="Arial" panose="020B0604020202020204" pitchFamily="34" charset="0"/>
            <a:buChar char="•"/>
          </a:pPr>
          <a:r>
            <a:rPr lang="en-US" sz="1200" b="1" u="none"/>
            <a:t>Showing</a:t>
          </a:r>
          <a:r>
            <a:rPr lang="en-US" sz="1200" b="1" u="none" baseline="0"/>
            <a:t> adaily trend with an area sparkline to spot patterns like busy days or seasonal trends</a:t>
          </a:r>
          <a:endParaRPr lang="en-US" sz="1200" b="1" u="none"/>
        </a:p>
      </xdr:txBody>
    </xdr:sp>
    <xdr:clientData/>
  </xdr:twoCellAnchor>
</xdr:wsDr>
</file>

<file path=xl/drawings/drawing6.xml><?xml version="1.0" encoding="utf-8"?>
<c:userShapes xmlns:c="http://schemas.openxmlformats.org/drawingml/2006/chart">
  <cdr:relSizeAnchor xmlns:cdr="http://schemas.openxmlformats.org/drawingml/2006/chartDrawing">
    <cdr:from>
      <cdr:x>0.00908</cdr:x>
      <cdr:y>0.00923</cdr:y>
    </cdr:from>
    <cdr:to>
      <cdr:x>0.07652</cdr:x>
      <cdr:y>0.17236</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EDD51470-8AE7-35C5-3BA9-6DCC431EDCD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66676" y="27417"/>
          <a:ext cx="495300" cy="484797"/>
        </a:xfrm>
        <a:prstGeom xmlns:a="http://schemas.openxmlformats.org/drawingml/2006/main" prst="rect">
          <a:avLst/>
        </a:prstGeom>
      </cdr:spPr>
    </cdr:pic>
  </cdr:relSizeAnchor>
  <cdr:relSizeAnchor xmlns:cdr="http://schemas.openxmlformats.org/drawingml/2006/chartDrawing">
    <cdr:from>
      <cdr:x>0.27929</cdr:x>
      <cdr:y>0.0203</cdr:y>
    </cdr:from>
    <cdr:to>
      <cdr:x>0.81712</cdr:x>
      <cdr:y>0.13426</cdr:y>
    </cdr:to>
    <cdr:sp macro="" textlink="">
      <cdr:nvSpPr>
        <cdr:cNvPr id="2" name="TextBox 1">
          <a:extLst xmlns:a="http://schemas.openxmlformats.org/drawingml/2006/main">
            <a:ext uri="{FF2B5EF4-FFF2-40B4-BE49-F238E27FC236}">
              <a16:creationId xmlns:a16="http://schemas.microsoft.com/office/drawing/2014/main" id="{A4670EF6-3D89-B420-79D3-166F68501FD8}"/>
            </a:ext>
          </a:extLst>
        </cdr:cNvPr>
        <cdr:cNvSpPr txBox="1"/>
      </cdr:nvSpPr>
      <cdr:spPr>
        <a:xfrm xmlns:a="http://schemas.openxmlformats.org/drawingml/2006/main">
          <a:off x="2051049" y="60325"/>
          <a:ext cx="3949702" cy="338667"/>
        </a:xfrm>
        <a:prstGeom xmlns:a="http://schemas.openxmlformats.org/drawingml/2006/main" prst="rect">
          <a:avLst/>
        </a:prstGeom>
        <a:solidFill xmlns:a="http://schemas.openxmlformats.org/drawingml/2006/main">
          <a:schemeClr val="bg1"/>
        </a:solidFill>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600" b="1" kern="1200"/>
            <a:t>Daily  Emergency Room</a:t>
          </a:r>
          <a:r>
            <a:rPr lang="en-US" sz="1600" b="1" kern="1200" baseline="0"/>
            <a:t> No of Patients</a:t>
          </a:r>
          <a:endParaRPr lang="en-US" sz="1600" b="1" kern="1200"/>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352425</xdr:colOff>
      <xdr:row>1</xdr:row>
      <xdr:rowOff>133350</xdr:rowOff>
    </xdr:from>
    <xdr:to>
      <xdr:col>14</xdr:col>
      <xdr:colOff>523874</xdr:colOff>
      <xdr:row>18</xdr:row>
      <xdr:rowOff>66675</xdr:rowOff>
    </xdr:to>
    <xdr:graphicFrame macro="">
      <xdr:nvGraphicFramePr>
        <xdr:cNvPr id="2" name="Chart 1">
          <a:extLst>
            <a:ext uri="{FF2B5EF4-FFF2-40B4-BE49-F238E27FC236}">
              <a16:creationId xmlns:a16="http://schemas.microsoft.com/office/drawing/2014/main" id="{5DA56894-5B17-4B04-B466-2228C4815B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352425</xdr:colOff>
      <xdr:row>18</xdr:row>
      <xdr:rowOff>104774</xdr:rowOff>
    </xdr:from>
    <xdr:to>
      <xdr:col>14</xdr:col>
      <xdr:colOff>523875</xdr:colOff>
      <xdr:row>19</xdr:row>
      <xdr:rowOff>180975</xdr:rowOff>
    </xdr:to>
    <xdr:sp macro="" textlink="">
      <xdr:nvSpPr>
        <xdr:cNvPr id="3" name="TextBox 2">
          <a:extLst>
            <a:ext uri="{FF2B5EF4-FFF2-40B4-BE49-F238E27FC236}">
              <a16:creationId xmlns:a16="http://schemas.microsoft.com/office/drawing/2014/main" id="{8B7CC1C1-60D4-814E-5D31-54FA626A0994}"/>
            </a:ext>
          </a:extLst>
        </xdr:cNvPr>
        <xdr:cNvSpPr txBox="1"/>
      </xdr:nvSpPr>
      <xdr:spPr>
        <a:xfrm>
          <a:off x="352425" y="3533774"/>
          <a:ext cx="8705850" cy="266701"/>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Use an area Chart show</a:t>
          </a:r>
          <a:r>
            <a:rPr lang="en-US" sz="1100" b="1" baseline="0">
              <a:solidFill>
                <a:schemeClr val="dk1"/>
              </a:solidFill>
              <a:effectLst/>
              <a:latin typeface="+mn-lt"/>
              <a:ea typeface="+mn-ea"/>
              <a:cs typeface="+mn-cs"/>
            </a:rPr>
            <a:t> trends,spot drops in satisfaction,and link them to busy times or challegenges</a:t>
          </a:r>
          <a:endParaRPr lang="en-US" b="1">
            <a:effectLst/>
          </a:endParaRPr>
        </a:p>
        <a:p>
          <a:endParaRPr lang="en-US" sz="1100"/>
        </a:p>
      </xdr:txBody>
    </xdr:sp>
    <xdr:clientData/>
  </xdr:twoCellAnchor>
</xdr:wsDr>
</file>

<file path=xl/drawings/drawing8.xml><?xml version="1.0" encoding="utf-8"?>
<c:userShapes xmlns:c="http://schemas.openxmlformats.org/drawingml/2006/chart">
  <cdr:relSizeAnchor xmlns:cdr="http://schemas.openxmlformats.org/drawingml/2006/chartDrawing">
    <cdr:from>
      <cdr:x>0.0124</cdr:x>
      <cdr:y>0.00096</cdr:y>
    </cdr:from>
    <cdr:to>
      <cdr:x>0.06929</cdr:x>
      <cdr:y>0.14284</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9B1E58CB-330A-463E-A211-B418ECBF1DF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07950" y="3175"/>
          <a:ext cx="495300" cy="468926"/>
        </a:xfrm>
        <a:prstGeom xmlns:a="http://schemas.openxmlformats.org/drawingml/2006/main" prst="rect">
          <a:avLst/>
        </a:prstGeom>
      </cdr:spPr>
    </cdr:pic>
  </cdr:relSizeAnchor>
  <cdr:relSizeAnchor xmlns:cdr="http://schemas.openxmlformats.org/drawingml/2006/chartDrawing">
    <cdr:from>
      <cdr:x>0.26951</cdr:x>
      <cdr:y>0.02202</cdr:y>
    </cdr:from>
    <cdr:to>
      <cdr:x>0.7232</cdr:x>
      <cdr:y>0.1288</cdr:y>
    </cdr:to>
    <cdr:sp macro="" textlink="">
      <cdr:nvSpPr>
        <cdr:cNvPr id="3" name="TextBox 1">
          <a:extLst xmlns:a="http://schemas.openxmlformats.org/drawingml/2006/main">
            <a:ext uri="{FF2B5EF4-FFF2-40B4-BE49-F238E27FC236}">
              <a16:creationId xmlns:a16="http://schemas.microsoft.com/office/drawing/2014/main" id="{78A7EBFF-5D41-95BD-5C9B-AF4328FE8E1E}"/>
            </a:ext>
          </a:extLst>
        </cdr:cNvPr>
        <cdr:cNvSpPr txBox="1"/>
      </cdr:nvSpPr>
      <cdr:spPr>
        <a:xfrm xmlns:a="http://schemas.openxmlformats.org/drawingml/2006/main">
          <a:off x="2346325" y="69850"/>
          <a:ext cx="3949702" cy="338667"/>
        </a:xfrm>
        <a:prstGeom xmlns:a="http://schemas.openxmlformats.org/drawingml/2006/main" prst="rect">
          <a:avLst/>
        </a:prstGeom>
        <a:solidFill xmlns:a="http://schemas.openxmlformats.org/drawingml/2006/main">
          <a:schemeClr val="bg1"/>
        </a:solidFill>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600" b="1" kern="1200"/>
            <a:t>Satisfaction</a:t>
          </a:r>
          <a:r>
            <a:rPr lang="en-US" sz="1600" b="1" kern="1200" baseline="0"/>
            <a:t> Score Daily Trend</a:t>
          </a:r>
          <a:endParaRPr lang="en-US" sz="1600" b="1" kern="1200"/>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RA REDDY" refreshedDate="46035.837328819442" createdVersion="5" refreshedVersion="8" minRefreshableVersion="3" recordCount="0" supportSubquery="1" supportAdvancedDrill="1" xr:uid="{C80486D6-2E90-42EC-BDE5-F6691B00253B}">
  <cacheSource type="external" connectionId="3"/>
  <cacheFields count="4">
    <cacheField name="[Measures].[Count of Patient Id]" caption="Count of Patient Id" numFmtId="0" hierarchy="24" level="32767"/>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Admission Date.3]" caption="Patient Admission Date.3" attribute="1" defaultMemberUniqueName="[Hospital Emergency Room Data  1].[Patient Admission Date.3].[All]" allUniqueName="[Hospital Emergency Room Data  1].[Patient Admission Date.3].[All]" dimensionUniqueName="[Hospital Emergency Room Data  1]" displayFolder="" count="0" memberValueDatatype="130"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RA REDDY" refreshedDate="46035.837329513888" createdVersion="5" refreshedVersion="8" minRefreshableVersion="3" recordCount="0" supportSubquery="1" supportAdvancedDrill="1" xr:uid="{258B7C38-EB4F-4578-AFCD-92512D743F41}">
  <cacheSource type="external" connectionId="3"/>
  <cacheFields count="3">
    <cacheField name="[Measures].[Count of Patient Id]" caption="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Admission Date.3]" caption="Patient Admission Date.3" attribute="1" defaultMemberUniqueName="[Hospital Emergency Room Data  1].[Patient Admission Date.3].[All]" allUniqueName="[Hospital Emergency Room Data  1].[Patient Admission Date.3].[All]" dimensionUniqueName="[Hospital Emergency Room Data  1]" displayFolder="" count="0" memberValueDatatype="130"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RA REDDY" refreshedDate="46035.837330092596" createdVersion="5" refreshedVersion="8" minRefreshableVersion="3" recordCount="0" supportSubquery="1" supportAdvancedDrill="1" xr:uid="{350E8A40-1B9D-47EB-A7AF-F4CD204A928F}">
  <cacheSource type="external" connectionId="3"/>
  <cacheFields count="3">
    <cacheField name="[Measures].[Average of Patient Waittime]" caption="Average of Patient Waittime" numFmtId="0" hierarchy="27"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Admission Date.3]" caption="Patient Admission Date.3" attribute="1" defaultMemberUniqueName="[Hospital Emergency Room Data  1].[Patient Admission Date.3].[All]" allUniqueName="[Hospital Emergency Room Data  1].[Patient Admission Date.3].[All]" dimensionUniqueName="[Hospital Emergency Room Data  1]" displayFolder="" count="0" memberValueDatatype="130"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1"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RA REDDY" refreshedDate="46035.837330787035" createdVersion="5" refreshedVersion="8" minRefreshableVersion="3" recordCount="0" supportSubquery="1" supportAdvancedDrill="1" xr:uid="{DC147E58-4501-4E63-9FF1-313E28D3E6FC}">
  <cacheSource type="external" connectionId="3"/>
  <cacheFields count="3">
    <cacheField name="[Measures].[Average of Patient Satisfaction Score]" caption="Average of Patient Satisfaction Score" numFmtId="0" hierarchy="29"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Admission Date.3]" caption="Patient Admission Date.3" attribute="1" defaultMemberUniqueName="[Hospital Emergency Room Data  1].[Patient Admission Date.3].[All]" allUniqueName="[Hospital Emergency Room Data  1].[Patient Admission Date.3].[All]" dimensionUniqueName="[Hospital Emergency Room Data  1]" displayFolder="" count="0" memberValueDatatype="130"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1"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RA REDDY" refreshedDate="46035.837331712966" createdVersion="5" refreshedVersion="8" minRefreshableVersion="3" recordCount="0" supportSubquery="1" supportAdvancedDrill="1" xr:uid="{014BF989-BB74-441F-B0B0-D0ADE4ADD6BF}">
  <cacheSource type="external" connectionId="3"/>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7"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Admission Date.3]" caption="Patient Admission Date.3" attribute="1" defaultMemberUniqueName="[Hospital Emergency Room Data  1].[Patient Admission Date.3].[All]" allUniqueName="[Hospital Emergency Room Data  1].[Patient Admission Date.3].[All]" dimensionUniqueName="[Hospital Emergency Room Data  1]" displayFolder="" count="0" memberValueDatatype="130"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RA REDDY" refreshedDate="46035.837332870367" createdVersion="5" refreshedVersion="8" minRefreshableVersion="3" recordCount="0" supportSubquery="1" supportAdvancedDrill="1" xr:uid="{F2E36738-C65C-4B1D-B216-2CE463E238F9}">
  <cacheSource type="external" connectionId="3"/>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9"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Admission Date.3]" caption="Patient Admission Date.3" attribute="1" defaultMemberUniqueName="[Hospital Emergency Room Data  1].[Patient Admission Date.3].[All]" allUniqueName="[Hospital Emergency Room Data  1].[Patient Admission Date.3].[All]" dimensionUniqueName="[Hospital Emergency Room Data  1]" displayFolder="" count="0" memberValueDatatype="130"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RA REDDY" refreshedDate="46035.837333449075" createdVersion="5" refreshedVersion="8" minRefreshableVersion="3" recordCount="0" supportSubquery="1" supportAdvancedDrill="1" xr:uid="{AAF14AEF-32D0-457E-86B1-C61D13081EA2}">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  1].[Patient Admission Flag].[Patient Admission Flag]" caption="Patient Admission Flag" numFmtId="0" hierarchy="14"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Admission Date.3]" caption="Patient Admission Date.3" attribute="1" defaultMemberUniqueName="[Hospital Emergency Room Data  1].[Patient Admission Date.3].[All]" allUniqueName="[Hospital Emergency Room Data  1].[Patient Admission Date.3].[All]" dimensionUniqueName="[Hospital Emergency Room Data  1]" displayFolder="" count="0" memberValueDatatype="130"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2" memberValueDatatype="130" unbalanced="0">
      <fieldsUsage count="2">
        <fieldUsage x="-1"/>
        <fieldUsage x="2"/>
      </fieldsUsage>
    </cacheHierarchy>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1"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3"/>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RA REDDY" refreshedDate="46035.837334027776" createdVersion="5" refreshedVersion="8" minRefreshableVersion="3" recordCount="0" supportSubquery="1" supportAdvancedDrill="1" xr:uid="{319A6ECC-229A-49A8-8456-A6B021E678FE}">
  <cacheSource type="external" connectionId="3"/>
  <cacheFields count="4">
    <cacheField name="[Calendar_Table].[Date (Month)].[Date (Month)]" caption="Date (Month)" numFmtId="0" hierarchy="1" level="1">
      <sharedItems containsSemiMixedTypes="0" containsNonDate="0" containsString="0"/>
    </cacheField>
    <cacheField name="[Hospital Emergency Room Data  1].[Age group].[Age group]" caption="Age group" numFmtId="0" hierarchy="17" level="1">
      <sharedItems count="8">
        <s v="0-09"/>
        <s v="10-19"/>
        <s v="20-29"/>
        <s v="30-39"/>
        <s v="40-49"/>
        <s v="50-59"/>
        <s v="60-69"/>
        <s v="70-79"/>
      </sharedItems>
    </cacheField>
    <cacheField name="[Measures].[Count of Age group]" caption="Count of Age group" numFmtId="0" hierarchy="31"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Admission Date.3]" caption="Patient Admission Date.3" attribute="1" defaultMemberUniqueName="[Hospital Emergency Room Data  1].[Patient Admission Date.3].[All]" allUniqueName="[Hospital Emergency Room Data  1].[Patient Admission Date.3].[All]" dimensionUniqueName="[Hospital Emergency Room Data  1]" displayFolder="" count="0" memberValueDatatype="130"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2" memberValueDatatype="130" unbalanced="0">
      <fieldsUsage count="2">
        <fieldUsage x="-1"/>
        <fieldUsage x="1"/>
      </fieldsUsage>
    </cacheHierarchy>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RA REDDY" refreshedDate="46035.837334606484" createdVersion="5" refreshedVersion="8" minRefreshableVersion="3" recordCount="0" supportSubquery="1" supportAdvancedDrill="1" xr:uid="{CE5ABF6E-1FE2-4B19-BC4A-B0EC1EB6A1D9}">
  <cacheSource type="external" connectionId="3"/>
  <cacheFields count="4">
    <cacheField name="[Calendar_Table].[Date (Month)].[Date (Month)]" caption="Date (Month)" numFmtId="0" hierarchy="1" level="1">
      <sharedItems containsSemiMixedTypes="0" containsNonDate="0" containsString="0"/>
    </cacheField>
    <cacheField name="[Hospital Emergency Room Data  1].[Patient Attend status].[Patient Attend status]" caption="Patient Attend status" numFmtId="0" hierarchy="18" level="1">
      <sharedItems count="2">
        <s v="Delay"/>
        <s v="Ontime"/>
      </sharedItems>
    </cacheField>
    <cacheField name="[Measures].[Count of Patient Attend status]" caption="Count of Patient Attend status" numFmtId="0" hierarchy="32"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Admission Date.3]" caption="Patient Admission Date.3" attribute="1" defaultMemberUniqueName="[Hospital Emergency Room Data  1].[Patient Admission Date.3].[All]" allUniqueName="[Hospital Emergency Room Data  1].[Patient Admission Date.3].[All]" dimensionUniqueName="[Hospital Emergency Room Data  1]" displayFolder="" count="0" memberValueDatatype="130"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RA REDDY" refreshedDate="46035.837335185184" createdVersion="5" refreshedVersion="8" minRefreshableVersion="3" recordCount="0" supportSubquery="1" supportAdvancedDrill="1" xr:uid="{96D61B45-1CE7-4030-97DD-E398B99F2F34}">
  <cacheSource type="external" connectionId="3"/>
  <cacheFields count="4">
    <cacheField name="[Calendar_Table].[Date (Month)].[Date (Month)]" caption="Date (Month)" numFmtId="0" hierarchy="1" level="1">
      <sharedItems containsSemiMixedTypes="0" containsNonDate="0" containsString="0"/>
    </cacheField>
    <cacheField name="[Hospital Emergency Room Data  1].[Patient Gender].[Patient Gender]" caption="Patient Gender" numFmtId="0" hierarchy="10" level="1">
      <sharedItems count="2">
        <s v="Female"/>
        <s v="Male"/>
      </sharedItems>
    </cacheField>
    <cacheField name="[Measures].[Count of Patient Gender]" caption="Count of Patient Gender" numFmtId="0" hierarchy="33"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Admission Date.3]" caption="Patient Admission Date.3" attribute="1" defaultMemberUniqueName="[Hospital Emergency Room Data  1].[Patient Admission Date.3].[All]" allUniqueName="[Hospital Emergency Room Data  1].[Patient Admission Date.3].[All]" dimensionUniqueName="[Hospital Emergency Room Data  1]" displayFolder="" count="0" memberValueDatatype="130"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2" memberValueDatatype="130" unbalanced="0">
      <fieldsUsage count="2">
        <fieldUsage x="-1"/>
        <fieldUsage x="1"/>
      </fieldsUsage>
    </cacheHierarchy>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RA REDDY" refreshedDate="46035.837335763892" createdVersion="5" refreshedVersion="8" minRefreshableVersion="3" recordCount="0" supportSubquery="1" supportAdvancedDrill="1" xr:uid="{B35E1C34-40D0-411A-88ED-D6D613938AB6}">
  <cacheSource type="external" connectionId="3"/>
  <cacheFields count="4">
    <cacheField name="[Calendar_Table].[Date (Month)].[Date (Month)]" caption="Date (Month)" numFmtId="0" hierarchy="1" level="1">
      <sharedItems containsSemiMixedTypes="0" containsNonDate="0" containsString="0"/>
    </cacheField>
    <cacheField name="[Hospital Emergency Room Data  1].[Department Referral].[Department Referral]" caption="Department Referral" numFmtId="0" hierarchy="13"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Admission Date.3]" caption="Patient Admission Date.3" attribute="1" defaultMemberUniqueName="[Hospital Emergency Room Data  1].[Patient Admission Date.3].[All]" allUniqueName="[Hospital Emergency Room Data  1].[Patient Admission Date.3].[All]" dimensionUniqueName="[Hospital Emergency Room Data  1]" displayFolder="" count="0" memberValueDatatype="130"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fieldsUsage count="2">
        <fieldUsage x="-1"/>
        <fieldUsage x="1"/>
      </fieldsUsage>
    </cacheHierarchy>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RA REDDY" refreshedDate="46035.837336342593" createdVersion="5" refreshedVersion="8" minRefreshableVersion="3" recordCount="0" supportSubquery="1" supportAdvancedDrill="1" xr:uid="{EC504949-DCB2-4A44-86C0-7EA82BE3B4C8}">
  <cacheSource type="external" connectionId="3"/>
  <cacheFields count="4">
    <cacheField name="[Calendar_Table].[Date (Month)].[Date (Month)]" caption="Date (Month)" numFmtId="0" hierarchy="1" level="1">
      <sharedItems count="1">
        <s v="Sep"/>
      </sharedItems>
    </cacheField>
    <cacheField name="[Calendar_Table].[Date].[Date]" caption="Date" numFmtId="0" level="1">
      <sharedItems containsSemiMixedTypes="0" containsNonDate="0" containsDate="1" containsString="0" minDate="2023-09-01T00:00:00" maxDate="2024-10-01T00:00:00" count="6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sharedItems>
    </cacheField>
    <cacheField name="[Calendar_Table].[Date (Quarter)].[Date (Quarter)]" caption="Date (Quarter)" numFmtId="0" hierarchy="4" level="1">
      <sharedItems count="1">
        <s v="Qtr3"/>
      </sharedItems>
    </cacheField>
    <cacheField name="[Calendar_Table].[Date (Year)].[Date (Year)]" caption="Date (Year)" numFmtId="0" hierarchy="3" level="1">
      <sharedItems count="1">
        <s v="2024"/>
      </sharedItems>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2"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2"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2" memberValueDatatype="7" unbalanced="0"/>
    <cacheHierarchy uniqueName="[Hospital Emergency Room Data  1].[Patient Admission Date.3]" caption="Patient Admission Date.3" attribute="1" defaultMemberUniqueName="[Hospital Emergency Room Data  1].[Patient Admission Date.3].[All]" allUniqueName="[Hospital Emergency Room Data  1].[Patient Admission Date.3].[All]" dimensionUniqueName="[Hospital Emergency Room Data  1]" displayFolder="" count="2" memberValueDatatype="130"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2"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2"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2"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2"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2"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2"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2"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2"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RA REDDY" refreshedDate="45868.483741203701" createdVersion="3" refreshedVersion="8" minRefreshableVersion="3" recordCount="0" supportSubquery="1" supportAdvancedDrill="1" xr:uid="{70F77478-598E-46D1-9968-69C3DF626561}">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Admission Date.3]" caption="Patient Admission Date.3" attribute="1" defaultMemberUniqueName="[Hospital Emergency Room Data  1].[Patient Admission Date.3].[All]" allUniqueName="[Hospital Emergency Room Data  1].[Patient Admission Date.3].[All]" dimensionUniqueName="[Hospital Emergency Room Data  1]" displayFolder="" count="0" memberValueDatatype="130"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730192626"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RA REDDY" refreshedDate="45868.484381018519" createdVersion="3" refreshedVersion="8" minRefreshableVersion="3" recordCount="0" supportSubquery="1" supportAdvancedDrill="1" xr:uid="{709B28DE-DEBF-4C63-B2B4-C9FC286507A0}">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Admission Date.3]" caption="Patient Admission Date.3" attribute="1" defaultMemberUniqueName="[Hospital Emergency Room Data  1].[Patient Admission Date.3].[All]" allUniqueName="[Hospital Emergency Room Data  1].[Patient Admission Date.3].[All]" dimensionUniqueName="[Hospital Emergency Room Data  1]" displayFolder="" count="0" memberValueDatatype="130"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4119126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C4B24A-0CE3-49F9-9478-7D0798F8AFFB}" name="PivotTable7" cacheId="4" applyNumberFormats="0" applyBorderFormats="0" applyFontFormats="0" applyPatternFormats="0" applyAlignmentFormats="0" applyWidthHeightFormats="1" dataCaption="Values" tag="47ea68b6-2911-4821-b4d9-3e200d044650" updatedVersion="8" minRefreshableVersion="3" subtotalHiddenItems="1" itemPrintTitles="1" createdVersion="5" indent="0" outline="1" outlineData="1" multipleFieldFilters="0" chartFormat="27">
  <location ref="L4:M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0">
      <pivotArea collapsedLevelsAreSubtotals="1" fieldPosition="0">
        <references count="1">
          <reference field="0" count="0"/>
        </references>
      </pivotArea>
    </format>
  </formats>
  <chartFormats count="4">
    <chartFormat chart="12"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4D3B08-C959-40B6-9203-77A8B282B046}" name="PivotTable9" cacheId="6" applyNumberFormats="0" applyBorderFormats="0" applyFontFormats="0" applyPatternFormats="0" applyAlignmentFormats="0" applyWidthHeightFormats="1" dataCaption="Values" tag="23059f3f-0975-42fd-9f71-16afc1f591e8" updatedVersion="8" minRefreshableVersion="3" subtotalHiddenItems="1" itemPrintTitles="1" createdVersion="5" indent="0" outline="1" outlineData="1" multipleFieldFilters="0" chartFormat="4">
  <location ref="A52:C55"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3">
      <pivotArea outline="0" collapsedLevelsAreSubtotals="1" fieldPosition="0"/>
    </format>
    <format dxfId="2">
      <pivotArea outline="0" fieldPosition="0">
        <references count="1">
          <reference field="4294967294" count="1">
            <x v="1"/>
          </reference>
        </references>
      </pivotArea>
    </format>
    <format dxfId="1">
      <pivotArea collapsedLevelsAreSubtotals="1" fieldPosition="0">
        <references count="2">
          <reference field="4294967294" count="1" selected="0">
            <x v="0"/>
          </reference>
          <reference field="2" count="0"/>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BBC015-7CC9-4C4B-BCDF-CA807F070AF3}" name="PivotTable4" cacheId="2" applyNumberFormats="0" applyBorderFormats="0" applyFontFormats="0" applyPatternFormats="0" applyAlignmentFormats="0" applyWidthHeightFormats="1" dataCaption="Values" tag="b5c36180-b423-429e-92c7-ee53ddbf5fb0" updatedVersion="8"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4">
      <pivotArea outline="0" collapsedLevelsAreSubtotals="1" fieldPosition="0"/>
    </format>
  </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4B47DD-9A6A-468A-BECD-5CA91C6048D1}" name="PivotTable3" cacheId="1" applyNumberFormats="0" applyBorderFormats="0" applyFontFormats="0" applyPatternFormats="0" applyAlignmentFormats="0" applyWidthHeightFormats="1" dataCaption="Values" tag="8ea786c3-3237-4d1b-83dd-6c7027d784b7"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8DB67A-4844-4DEE-B3F8-A62F1E5A8C3A}" name="PivotTable12" cacheId="9" applyNumberFormats="0" applyBorderFormats="0" applyFontFormats="0" applyPatternFormats="0" applyAlignmentFormats="0" applyWidthHeightFormats="1" dataCaption="Values" tag="87a00bf0-d551-48c9-9f75-67b758144128" updatedVersion="8" minRefreshableVersion="3" subtotalHiddenItems="1" itemPrintTitles="1" createdVersion="5" indent="0" outline="1" outlineData="1" multipleFieldFilters="0" chartFormat="20">
  <location ref="A97:B10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6">
      <pivotArea outline="0" collapsedLevelsAreSubtotals="1" fieldPosition="0"/>
    </format>
    <format dxfId="5">
      <pivotArea collapsedLevelsAreSubtotals="1" fieldPosition="0">
        <references count="1">
          <reference field="1" count="0"/>
        </references>
      </pivotArea>
    </format>
  </formats>
  <chartFormats count="3">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1" count="1" selected="0">
            <x v="0"/>
          </reference>
        </references>
      </pivotArea>
    </chartFormat>
    <chartFormat chart="19"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5C180F-81F3-4C8C-BFD6-2103937CFE45}" name="PivotTable8" cacheId="5" applyNumberFormats="0" applyBorderFormats="0" applyFontFormats="0" applyPatternFormats="0" applyAlignmentFormats="0" applyWidthHeightFormats="1" dataCaption="Values" tag="9a01544b-e150-4802-ae5b-50724a35fe1c" updatedVersion="8" minRefreshableVersion="3" subtotalHiddenItems="1" itemPrintTitles="1" createdVersion="5" indent="0" outline="1" outlineData="1" multipleFieldFilters="0" chartFormat="18">
  <location ref="Q4:R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7">
      <pivotArea collapsedLevelsAreSubtotals="1" fieldPosition="0">
        <references count="1">
          <reference field="0" count="0"/>
        </references>
      </pivotArea>
    </format>
  </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41DE0B-53E1-4BDB-B52B-5D8525119BBE}" name="PivotTable13" cacheId="10" applyNumberFormats="0" applyBorderFormats="0" applyFontFormats="0" applyPatternFormats="0" applyAlignmentFormats="0" applyWidthHeightFormats="1" dataCaption="Values" tag="6a6d0df7-2442-4848-95f3-1a2d58bd4be8" updatedVersion="8" minRefreshableVersion="3" subtotalHiddenItems="1" itemPrintTitles="1" createdVersion="5" indent="0" outline="1" outlineData="1" multipleFieldFilters="0" chartFormat="25">
  <location ref="A107:B116"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2">
    <format dxfId="9">
      <pivotArea outline="0" collapsedLevelsAreSubtotals="1" fieldPosition="0"/>
    </format>
    <format dxfId="8">
      <pivotArea collapsedLevelsAreSubtotals="1" fieldPosition="0">
        <references count="1">
          <reference field="1" count="0"/>
        </references>
      </pivotArea>
    </format>
  </formats>
  <chartFormats count="2">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33DC66-FB08-441A-B878-2C54F79F6B3B}" name="PivotTable5" cacheId="3" applyNumberFormats="0" applyBorderFormats="0" applyFontFormats="0" applyPatternFormats="0" applyAlignmentFormats="0" applyWidthHeightFormats="1" dataCaption="Values" tag="8e7cbd77-d3fe-4081-a598-d73d9b318535" updatedVersion="8" minRefreshableVersion="3" subtotalHiddenItems="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0">
      <pivotArea outline="0" collapsedLevelsAreSubtotals="1" fieldPosition="0"/>
    </format>
  </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A4C181-032C-46F2-9612-6848FEE228DA}" name="PivotTable6" cacheId="0" applyNumberFormats="0" applyBorderFormats="0" applyFontFormats="0" applyPatternFormats="0" applyAlignmentFormats="0" applyWidthHeightFormats="1" dataCaption="Values" tag="59192409-9cb9-4f84-83a9-16e3a85b11d5" updatedVersion="8" minRefreshableVersion="3" subtotalHiddenItems="1" itemPrintTitles="1" createdVersion="5" indent="0" outline="1" outlineData="1" multipleFieldFilters="0" chartFormat="10">
  <location ref="F4:G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 fld="0" subtotal="count" baseField="0" baseItem="0"/>
  </dataFields>
  <chartFormats count="2">
    <chartFormat chart="6" format="5"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3FBE7CD-8647-4690-B916-AB773D52C984}" name="PivotTable14" cacheId="11" applyNumberFormats="0" applyBorderFormats="0" applyFontFormats="0" applyPatternFormats="0" applyAlignmentFormats="0" applyWidthHeightFormats="1" dataCaption="Values" tag="83ddc4ae-219b-45d1-8770-104dfbe8fa0b" updatedVersion="8" minRefreshableVersion="3" subtotalHiddenItems="1" itemPrintTitles="1" createdVersion="5" indent="0" outline="1" outlineData="1" multipleFieldFilters="0" chartFormat="25">
  <location ref="A123:A125"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1">
      <pivotArea outline="0" collapsedLevelsAreSubtotals="1" fieldPosition="0"/>
    </format>
  </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6644A84-EA3E-4CBD-A379-655F70C09B88}" name="PivotTable10" cacheId="7" applyNumberFormats="0" applyBorderFormats="0" applyFontFormats="0" applyPatternFormats="0" applyAlignmentFormats="0" applyWidthHeightFormats="1" dataCaption="Values" tag="ea98a4bd-5705-4128-8dde-583100d1a4f1" updatedVersion="8" minRefreshableVersion="3" subtotalHiddenItems="1" itemPrintTitles="1" createdVersion="5" indent="0" outline="1" outlineData="1" multipleFieldFilters="0" chartFormat="8">
  <location ref="A69:B7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13">
      <pivotArea outline="0" collapsedLevelsAreSubtotals="1" fieldPosition="0"/>
    </format>
    <format dxfId="12">
      <pivotArea collapsedLevelsAreSubtotals="1" fieldPosition="0">
        <references count="1">
          <reference field="1" count="0"/>
        </references>
      </pivotArea>
    </format>
  </formats>
  <chartFormats count="1">
    <chartFormat chart="7"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E1B05D3-B81E-472F-9E38-6884D93B1507}" name="PivotTable11" cacheId="8" applyNumberFormats="0" applyBorderFormats="0" applyFontFormats="0" applyPatternFormats="0" applyAlignmentFormats="0" applyWidthHeightFormats="1" dataCaption="Values" tag="f3576086-fbf2-4f2d-bba8-1da60b49ff8b" updatedVersion="8" minRefreshableVersion="3" subtotalHiddenItems="1" itemPrintTitles="1" createdVersion="5" indent="0" outline="1" outlineData="1" multipleFieldFilters="0" chartFormat="13">
  <location ref="A87:B9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15">
      <pivotArea outline="0" collapsedLevelsAreSubtotals="1" fieldPosition="0"/>
    </format>
    <format dxfId="14">
      <pivotArea collapsedLevelsAreSubtotals="1" fieldPosition="0">
        <references count="1">
          <reference field="1" count="0"/>
        </references>
      </pivotArea>
    </format>
  </format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9656D717-895D-4C26-9339-8EEEB8C7FAD6}" sourceName="[Calendar_Table].[Date (Month)]">
  <pivotTables>
    <pivotTable tabId="1" name="PivotTable6"/>
    <pivotTable tabId="1" name="PivotTable3"/>
    <pivotTable tabId="1" name="PivotTable4"/>
    <pivotTable tabId="1" name="PivotTable5"/>
    <pivotTable tabId="1" name="PivotTable7"/>
    <pivotTable tabId="1" name="PivotTable8"/>
    <pivotTable tabId="1" name="PivotTable9"/>
    <pivotTable tabId="1" name="PivotTable10"/>
    <pivotTable tabId="1" name="PivotTable11"/>
    <pivotTable tabId="1" name="PivotTable12"/>
    <pivotTable tabId="1" name="PivotTable13"/>
    <pivotTable tabId="1" name="PivotTable14"/>
  </pivotTables>
  <data>
    <olap pivotCacheId="730192626">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AAFCBF02-36A9-428A-905C-7CADE1B67D4F}" sourceName="[Calendar_Table].[Date (Year)]">
  <pivotTables>
    <pivotTable tabId="1" name="PivotTable14"/>
    <pivotTable tabId="1" name="PivotTable10"/>
    <pivotTable tabId="1" name="PivotTable11"/>
    <pivotTable tabId="1" name="PivotTable12"/>
    <pivotTable tabId="1" name="PivotTable13"/>
    <pivotTable tabId="1" name="PivotTable3"/>
    <pivotTable tabId="1" name="PivotTable4"/>
    <pivotTable tabId="1" name="PivotTable5"/>
    <pivotTable tabId="1" name="PivotTable6"/>
    <pivotTable tabId="1" name="PivotTable7"/>
    <pivotTable tabId="1" name="PivotTable8"/>
    <pivotTable tabId="1" name="PivotTable9"/>
  </pivotTables>
  <data>
    <olap pivotCacheId="1411912629">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943D0372-F441-4894-9DB3-21826E239D5E}" cache="Slicer_Date__Year" caption="Date (Year)"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AC52CEE6-A921-47D1-80DB-1EB698447A1A}" cache="Slicer_Date__Month" caption="Date (Month)" showCaption="0" level="1" style="My style" rowHeight="137160"/>
  <slicer name="Date (Year) 1" xr10:uid="{F5692A2E-6601-4ECD-8EBA-7E28E860FA82}" cache="Slicer_Date__Year" caption="Date (Year)" columnCount="2" showCaption="0" level="1" style="My styl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898E5-7D98-4F9D-A867-2E2DE6A73F86}">
  <dimension ref="A1:R125"/>
  <sheetViews>
    <sheetView topLeftCell="A51" zoomScale="150" workbookViewId="0">
      <selection activeCell="B59" sqref="B59"/>
    </sheetView>
  </sheetViews>
  <sheetFormatPr defaultRowHeight="15" x14ac:dyDescent="0.25"/>
  <cols>
    <col min="1" max="1" width="16.28515625" customWidth="1"/>
    <col min="2" max="2" width="12" customWidth="1"/>
    <col min="3" max="3" width="10.140625" customWidth="1"/>
    <col min="4" max="4" width="16.5703125" customWidth="1"/>
    <col min="6" max="6" width="14.85546875" customWidth="1"/>
    <col min="13" max="13" width="24.85546875" customWidth="1"/>
    <col min="18" max="18" width="25.5703125" customWidth="1"/>
  </cols>
  <sheetData>
    <row r="1" spans="1:18" ht="13.15" customHeight="1" x14ac:dyDescent="0.25"/>
    <row r="3" spans="1:18" x14ac:dyDescent="0.25">
      <c r="A3" t="s">
        <v>1</v>
      </c>
      <c r="F3" t="s">
        <v>38</v>
      </c>
      <c r="L3" t="s">
        <v>39</v>
      </c>
      <c r="Q3" t="s">
        <v>41</v>
      </c>
    </row>
    <row r="4" spans="1:18" x14ac:dyDescent="0.25">
      <c r="A4" t="s">
        <v>0</v>
      </c>
      <c r="F4" s="1" t="s">
        <v>6</v>
      </c>
      <c r="G4" t="s">
        <v>0</v>
      </c>
      <c r="L4" s="1" t="s">
        <v>6</v>
      </c>
      <c r="M4" t="s">
        <v>2</v>
      </c>
      <c r="Q4" s="1" t="s">
        <v>6</v>
      </c>
      <c r="R4" t="s">
        <v>3</v>
      </c>
    </row>
    <row r="5" spans="1:18" x14ac:dyDescent="0.25">
      <c r="A5">
        <v>513</v>
      </c>
      <c r="F5" s="4" t="s">
        <v>7</v>
      </c>
      <c r="G5">
        <v>19</v>
      </c>
      <c r="L5" s="4" t="s">
        <v>7</v>
      </c>
      <c r="M5" s="2">
        <v>37.789473684210527</v>
      </c>
      <c r="Q5" s="4" t="s">
        <v>7</v>
      </c>
      <c r="R5" s="2">
        <v>6.666666666666667</v>
      </c>
    </row>
    <row r="6" spans="1:18" x14ac:dyDescent="0.25">
      <c r="F6" s="4" t="s">
        <v>8</v>
      </c>
      <c r="G6">
        <v>14</v>
      </c>
      <c r="L6" s="4" t="s">
        <v>8</v>
      </c>
      <c r="M6" s="2">
        <v>38.214285714285715</v>
      </c>
      <c r="Q6" s="4" t="s">
        <v>8</v>
      </c>
      <c r="R6" s="2">
        <v>3.5</v>
      </c>
    </row>
    <row r="7" spans="1:18" x14ac:dyDescent="0.25">
      <c r="F7" s="4" t="s">
        <v>9</v>
      </c>
      <c r="G7">
        <v>13</v>
      </c>
      <c r="L7" s="4" t="s">
        <v>9</v>
      </c>
      <c r="M7" s="2">
        <v>40.92307692307692</v>
      </c>
      <c r="Q7" s="4" t="s">
        <v>9</v>
      </c>
      <c r="R7" s="2">
        <v>4.5</v>
      </c>
    </row>
    <row r="8" spans="1:18" x14ac:dyDescent="0.25">
      <c r="F8" s="4" t="s">
        <v>10</v>
      </c>
      <c r="G8">
        <v>22</v>
      </c>
      <c r="L8" s="4" t="s">
        <v>10</v>
      </c>
      <c r="M8" s="2">
        <v>34.5</v>
      </c>
      <c r="Q8" s="4" t="s">
        <v>10</v>
      </c>
      <c r="R8" s="2">
        <v>4.8</v>
      </c>
    </row>
    <row r="9" spans="1:18" x14ac:dyDescent="0.25">
      <c r="A9" t="s">
        <v>2</v>
      </c>
      <c r="F9" s="4" t="s">
        <v>11</v>
      </c>
      <c r="G9">
        <v>19</v>
      </c>
      <c r="L9" s="4" t="s">
        <v>11</v>
      </c>
      <c r="M9" s="2">
        <v>30.684210526315791</v>
      </c>
      <c r="Q9" s="4" t="s">
        <v>11</v>
      </c>
      <c r="R9" s="2">
        <v>7.75</v>
      </c>
    </row>
    <row r="10" spans="1:18" x14ac:dyDescent="0.25">
      <c r="A10" s="2">
        <v>36.323586744639378</v>
      </c>
      <c r="F10" s="4" t="s">
        <v>12</v>
      </c>
      <c r="G10">
        <v>15</v>
      </c>
      <c r="L10" s="4" t="s">
        <v>12</v>
      </c>
      <c r="M10" s="2">
        <v>37.666666666666664</v>
      </c>
      <c r="Q10" s="4" t="s">
        <v>12</v>
      </c>
      <c r="R10" s="2">
        <v>6.2</v>
      </c>
    </row>
    <row r="11" spans="1:18" x14ac:dyDescent="0.25">
      <c r="F11" s="4" t="s">
        <v>13</v>
      </c>
      <c r="G11">
        <v>12</v>
      </c>
      <c r="L11" s="4" t="s">
        <v>13</v>
      </c>
      <c r="M11" s="2">
        <v>36.083333333333336</v>
      </c>
      <c r="Q11" s="4" t="s">
        <v>13</v>
      </c>
      <c r="R11" s="2">
        <v>3.75</v>
      </c>
    </row>
    <row r="12" spans="1:18" x14ac:dyDescent="0.25">
      <c r="F12" s="4" t="s">
        <v>14</v>
      </c>
      <c r="G12">
        <v>21</v>
      </c>
      <c r="L12" s="4" t="s">
        <v>14</v>
      </c>
      <c r="M12" s="2">
        <v>43.523809523809526</v>
      </c>
      <c r="Q12" s="4" t="s">
        <v>14</v>
      </c>
      <c r="R12" s="2">
        <v>6.5</v>
      </c>
    </row>
    <row r="13" spans="1:18" x14ac:dyDescent="0.25">
      <c r="A13" t="s">
        <v>3</v>
      </c>
      <c r="F13" s="4" t="s">
        <v>15</v>
      </c>
      <c r="G13">
        <v>12</v>
      </c>
      <c r="L13" s="4" t="s">
        <v>15</v>
      </c>
      <c r="M13" s="2">
        <v>29.5</v>
      </c>
      <c r="Q13" s="4" t="s">
        <v>15</v>
      </c>
      <c r="R13" s="2">
        <v>3</v>
      </c>
    </row>
    <row r="14" spans="1:18" x14ac:dyDescent="0.25">
      <c r="A14" s="2">
        <v>4.9591836734693882</v>
      </c>
      <c r="F14" s="4" t="s">
        <v>16</v>
      </c>
      <c r="G14">
        <v>13</v>
      </c>
      <c r="L14" s="4" t="s">
        <v>16</v>
      </c>
      <c r="M14" s="2">
        <v>38.07692307692308</v>
      </c>
      <c r="Q14" s="4" t="s">
        <v>16</v>
      </c>
      <c r="R14" s="2">
        <v>4.5</v>
      </c>
    </row>
    <row r="15" spans="1:18" x14ac:dyDescent="0.25">
      <c r="F15" s="4" t="s">
        <v>17</v>
      </c>
      <c r="G15">
        <v>13</v>
      </c>
      <c r="L15" s="4" t="s">
        <v>17</v>
      </c>
      <c r="M15" s="2">
        <v>35.846153846153847</v>
      </c>
      <c r="Q15" s="4" t="s">
        <v>17</v>
      </c>
      <c r="R15" s="2">
        <v>6</v>
      </c>
    </row>
    <row r="16" spans="1:18" x14ac:dyDescent="0.25">
      <c r="F16" s="4" t="s">
        <v>18</v>
      </c>
      <c r="G16">
        <v>16</v>
      </c>
      <c r="L16" s="4" t="s">
        <v>18</v>
      </c>
      <c r="M16" s="2">
        <v>32.625</v>
      </c>
      <c r="Q16" s="4" t="s">
        <v>18</v>
      </c>
      <c r="R16" s="2">
        <v>5.2</v>
      </c>
    </row>
    <row r="17" spans="6:18" x14ac:dyDescent="0.25">
      <c r="F17" s="4" t="s">
        <v>19</v>
      </c>
      <c r="G17">
        <v>20</v>
      </c>
      <c r="L17" s="4" t="s">
        <v>19</v>
      </c>
      <c r="M17" s="2">
        <v>39.200000000000003</v>
      </c>
      <c r="Q17" s="4" t="s">
        <v>19</v>
      </c>
      <c r="R17" s="2">
        <v>4.4000000000000004</v>
      </c>
    </row>
    <row r="18" spans="6:18" x14ac:dyDescent="0.25">
      <c r="F18" s="4" t="s">
        <v>20</v>
      </c>
      <c r="G18">
        <v>25</v>
      </c>
      <c r="L18" s="4" t="s">
        <v>20</v>
      </c>
      <c r="M18" s="2">
        <v>35.28</v>
      </c>
      <c r="Q18" s="4" t="s">
        <v>20</v>
      </c>
      <c r="R18" s="2">
        <v>3.4545454545454546</v>
      </c>
    </row>
    <row r="19" spans="6:18" x14ac:dyDescent="0.25">
      <c r="F19" s="4" t="s">
        <v>21</v>
      </c>
      <c r="G19">
        <v>20</v>
      </c>
      <c r="L19" s="4" t="s">
        <v>21</v>
      </c>
      <c r="M19" s="2">
        <v>32.549999999999997</v>
      </c>
      <c r="Q19" s="4" t="s">
        <v>21</v>
      </c>
      <c r="R19" s="2">
        <v>4.4000000000000004</v>
      </c>
    </row>
    <row r="20" spans="6:18" x14ac:dyDescent="0.25">
      <c r="F20" s="4" t="s">
        <v>22</v>
      </c>
      <c r="G20">
        <v>14</v>
      </c>
      <c r="L20" s="4" t="s">
        <v>22</v>
      </c>
      <c r="M20" s="2">
        <v>35.642857142857146</v>
      </c>
      <c r="Q20" s="4" t="s">
        <v>22</v>
      </c>
      <c r="R20" s="2">
        <v>5.833333333333333</v>
      </c>
    </row>
    <row r="21" spans="6:18" x14ac:dyDescent="0.25">
      <c r="F21" s="4" t="s">
        <v>23</v>
      </c>
      <c r="G21">
        <v>17</v>
      </c>
      <c r="L21" s="4" t="s">
        <v>23</v>
      </c>
      <c r="M21" s="2">
        <v>38.764705882352942</v>
      </c>
      <c r="Q21" s="4" t="s">
        <v>23</v>
      </c>
      <c r="R21" s="2">
        <v>4.4444444444444446</v>
      </c>
    </row>
    <row r="22" spans="6:18" x14ac:dyDescent="0.25">
      <c r="F22" s="4" t="s">
        <v>24</v>
      </c>
      <c r="G22">
        <v>20</v>
      </c>
      <c r="L22" s="4" t="s">
        <v>24</v>
      </c>
      <c r="M22" s="2">
        <v>39.9</v>
      </c>
      <c r="Q22" s="4" t="s">
        <v>24</v>
      </c>
      <c r="R22" s="2">
        <v>5.333333333333333</v>
      </c>
    </row>
    <row r="23" spans="6:18" x14ac:dyDescent="0.25">
      <c r="F23" s="4" t="s">
        <v>25</v>
      </c>
      <c r="G23">
        <v>10</v>
      </c>
      <c r="L23" s="4" t="s">
        <v>25</v>
      </c>
      <c r="M23" s="2">
        <v>41.6</v>
      </c>
      <c r="Q23" s="4" t="s">
        <v>25</v>
      </c>
      <c r="R23" s="2">
        <v>5.333333333333333</v>
      </c>
    </row>
    <row r="24" spans="6:18" x14ac:dyDescent="0.25">
      <c r="F24" s="4" t="s">
        <v>26</v>
      </c>
      <c r="G24">
        <v>17</v>
      </c>
      <c r="L24" s="4" t="s">
        <v>26</v>
      </c>
      <c r="M24" s="2">
        <v>39.470588235294116</v>
      </c>
      <c r="Q24" s="4" t="s">
        <v>26</v>
      </c>
      <c r="R24" s="2">
        <v>5.5714285714285712</v>
      </c>
    </row>
    <row r="25" spans="6:18" x14ac:dyDescent="0.25">
      <c r="F25" s="4" t="s">
        <v>27</v>
      </c>
      <c r="G25">
        <v>15</v>
      </c>
      <c r="L25" s="4" t="s">
        <v>27</v>
      </c>
      <c r="M25" s="2">
        <v>27.733333333333334</v>
      </c>
      <c r="Q25" s="4" t="s">
        <v>27</v>
      </c>
      <c r="R25" s="2">
        <v>5</v>
      </c>
    </row>
    <row r="26" spans="6:18" x14ac:dyDescent="0.25">
      <c r="F26" s="4" t="s">
        <v>28</v>
      </c>
      <c r="G26">
        <v>16</v>
      </c>
      <c r="L26" s="4" t="s">
        <v>28</v>
      </c>
      <c r="M26" s="2">
        <v>36.875</v>
      </c>
      <c r="Q26" s="4" t="s">
        <v>28</v>
      </c>
      <c r="R26" s="2">
        <v>6.4</v>
      </c>
    </row>
    <row r="27" spans="6:18" x14ac:dyDescent="0.25">
      <c r="F27" s="4" t="s">
        <v>29</v>
      </c>
      <c r="G27">
        <v>18</v>
      </c>
      <c r="L27" s="4" t="s">
        <v>29</v>
      </c>
      <c r="M27" s="2">
        <v>40.333333333333336</v>
      </c>
      <c r="Q27" s="4" t="s">
        <v>29</v>
      </c>
      <c r="R27" s="2">
        <v>5.333333333333333</v>
      </c>
    </row>
    <row r="28" spans="6:18" x14ac:dyDescent="0.25">
      <c r="F28" s="4" t="s">
        <v>30</v>
      </c>
      <c r="G28">
        <v>16</v>
      </c>
      <c r="L28" s="4" t="s">
        <v>30</v>
      </c>
      <c r="M28" s="2">
        <v>36.5</v>
      </c>
      <c r="Q28" s="4" t="s">
        <v>30</v>
      </c>
      <c r="R28" s="2">
        <v>3.75</v>
      </c>
    </row>
    <row r="29" spans="6:18" x14ac:dyDescent="0.25">
      <c r="F29" s="4" t="s">
        <v>31</v>
      </c>
      <c r="G29">
        <v>15</v>
      </c>
      <c r="L29" s="4" t="s">
        <v>31</v>
      </c>
      <c r="M29" s="2">
        <v>32.866666666666667</v>
      </c>
      <c r="Q29" s="4" t="s">
        <v>31</v>
      </c>
      <c r="R29" s="2">
        <v>6.333333333333333</v>
      </c>
    </row>
    <row r="30" spans="6:18" x14ac:dyDescent="0.25">
      <c r="F30" s="4" t="s">
        <v>32</v>
      </c>
      <c r="G30">
        <v>14</v>
      </c>
      <c r="L30" s="4" t="s">
        <v>32</v>
      </c>
      <c r="M30" s="2">
        <v>36.642857142857146</v>
      </c>
      <c r="Q30" s="4" t="s">
        <v>32</v>
      </c>
      <c r="R30" s="2">
        <v>10</v>
      </c>
    </row>
    <row r="31" spans="6:18" x14ac:dyDescent="0.25">
      <c r="F31" s="4" t="s">
        <v>33</v>
      </c>
      <c r="G31">
        <v>16</v>
      </c>
      <c r="L31" s="4" t="s">
        <v>33</v>
      </c>
      <c r="M31" s="2">
        <v>36.5625</v>
      </c>
      <c r="Q31" s="4" t="s">
        <v>33</v>
      </c>
      <c r="R31" s="2">
        <v>5</v>
      </c>
    </row>
    <row r="32" spans="6:18" x14ac:dyDescent="0.25">
      <c r="F32" s="4" t="s">
        <v>34</v>
      </c>
      <c r="G32">
        <v>20</v>
      </c>
      <c r="L32" s="4" t="s">
        <v>34</v>
      </c>
      <c r="M32" s="2">
        <v>32.15</v>
      </c>
      <c r="Q32" s="4" t="s">
        <v>34</v>
      </c>
      <c r="R32" s="2">
        <v>5.333333333333333</v>
      </c>
    </row>
    <row r="33" spans="6:18" x14ac:dyDescent="0.25">
      <c r="F33" s="4" t="s">
        <v>35</v>
      </c>
      <c r="G33">
        <v>19</v>
      </c>
      <c r="L33" s="4" t="s">
        <v>35</v>
      </c>
      <c r="M33" s="2">
        <v>38.368421052631582</v>
      </c>
      <c r="Q33" s="4" t="s">
        <v>35</v>
      </c>
      <c r="R33" s="2">
        <v>4.8</v>
      </c>
    </row>
    <row r="34" spans="6:18" x14ac:dyDescent="0.25">
      <c r="F34" s="4" t="s">
        <v>36</v>
      </c>
      <c r="G34">
        <v>14</v>
      </c>
      <c r="L34" s="4" t="s">
        <v>36</v>
      </c>
      <c r="M34" s="2">
        <v>33.071428571428569</v>
      </c>
      <c r="Q34" s="4" t="s">
        <v>36</v>
      </c>
      <c r="R34" s="2">
        <v>5</v>
      </c>
    </row>
    <row r="35" spans="6:18" x14ac:dyDescent="0.25">
      <c r="F35" s="4" t="s">
        <v>37</v>
      </c>
      <c r="G35">
        <v>18</v>
      </c>
      <c r="L35" s="4" t="s">
        <v>37</v>
      </c>
      <c r="M35" s="2">
        <v>36.444444444444443</v>
      </c>
      <c r="Q35" s="4" t="s">
        <v>37</v>
      </c>
      <c r="R35" s="2">
        <v>1.4</v>
      </c>
    </row>
    <row r="36" spans="6:18" x14ac:dyDescent="0.25">
      <c r="F36" s="4" t="s">
        <v>4</v>
      </c>
      <c r="G36">
        <v>513</v>
      </c>
      <c r="L36" s="4" t="s">
        <v>4</v>
      </c>
      <c r="M36">
        <v>36.323586744639378</v>
      </c>
      <c r="Q36" s="4" t="s">
        <v>4</v>
      </c>
      <c r="R36">
        <v>4.9591836734693882</v>
      </c>
    </row>
    <row r="52" spans="1:7" x14ac:dyDescent="0.25">
      <c r="A52" s="1" t="s">
        <v>6</v>
      </c>
      <c r="B52" t="s">
        <v>44</v>
      </c>
      <c r="C52" t="s">
        <v>45</v>
      </c>
    </row>
    <row r="53" spans="1:7" x14ac:dyDescent="0.25">
      <c r="A53" s="4" t="s">
        <v>42</v>
      </c>
      <c r="B53" s="6">
        <v>269</v>
      </c>
      <c r="C53" s="7">
        <v>0.52436647173489281</v>
      </c>
    </row>
    <row r="54" spans="1:7" x14ac:dyDescent="0.25">
      <c r="A54" s="4" t="s">
        <v>43</v>
      </c>
      <c r="B54" s="6">
        <v>244</v>
      </c>
      <c r="C54" s="7">
        <v>0.47563352826510719</v>
      </c>
    </row>
    <row r="55" spans="1:7" x14ac:dyDescent="0.25">
      <c r="A55" s="4" t="s">
        <v>4</v>
      </c>
      <c r="B55" s="2">
        <v>513</v>
      </c>
      <c r="C55" s="7">
        <v>1</v>
      </c>
    </row>
    <row r="58" spans="1:7" ht="13.15" customHeight="1" x14ac:dyDescent="0.25">
      <c r="A58" s="10" t="s">
        <v>46</v>
      </c>
      <c r="B58" s="14" t="s">
        <v>47</v>
      </c>
      <c r="C58" s="14" t="s">
        <v>48</v>
      </c>
      <c r="D58" s="12"/>
    </row>
    <row r="59" spans="1:7" x14ac:dyDescent="0.25">
      <c r="A59" s="13" t="str">
        <f>A54</f>
        <v>not admitted</v>
      </c>
      <c r="B59" s="13">
        <f>B54</f>
        <v>244</v>
      </c>
      <c r="C59" s="11">
        <f>C54</f>
        <v>0.47563352826510719</v>
      </c>
      <c r="D59" s="8"/>
      <c r="G59" s="9"/>
    </row>
    <row r="60" spans="1:7" ht="13.15" customHeight="1" x14ac:dyDescent="0.25">
      <c r="A60" s="13" t="str">
        <f>A53</f>
        <v>admitted</v>
      </c>
      <c r="B60" s="13">
        <f>B53</f>
        <v>269</v>
      </c>
      <c r="C60" s="11">
        <f>C53</f>
        <v>0.52436647173489281</v>
      </c>
      <c r="D60" s="8"/>
    </row>
    <row r="68" spans="1:2" x14ac:dyDescent="0.25">
      <c r="A68" t="s">
        <v>58</v>
      </c>
    </row>
    <row r="69" spans="1:2" x14ac:dyDescent="0.25">
      <c r="A69" s="1" t="s">
        <v>6</v>
      </c>
      <c r="B69" t="s">
        <v>57</v>
      </c>
    </row>
    <row r="70" spans="1:2" x14ac:dyDescent="0.25">
      <c r="A70" s="4" t="s">
        <v>49</v>
      </c>
      <c r="B70" s="6">
        <v>76</v>
      </c>
    </row>
    <row r="71" spans="1:2" x14ac:dyDescent="0.25">
      <c r="A71" s="4" t="s">
        <v>50</v>
      </c>
      <c r="B71" s="6">
        <v>69</v>
      </c>
    </row>
    <row r="72" spans="1:2" x14ac:dyDescent="0.25">
      <c r="A72" s="4" t="s">
        <v>51</v>
      </c>
      <c r="B72" s="6">
        <v>64</v>
      </c>
    </row>
    <row r="73" spans="1:2" x14ac:dyDescent="0.25">
      <c r="A73" s="4" t="s">
        <v>52</v>
      </c>
      <c r="B73" s="6">
        <v>59</v>
      </c>
    </row>
    <row r="74" spans="1:2" x14ac:dyDescent="0.25">
      <c r="A74" s="4" t="s">
        <v>53</v>
      </c>
      <c r="B74" s="6">
        <v>58</v>
      </c>
    </row>
    <row r="75" spans="1:2" x14ac:dyDescent="0.25">
      <c r="A75" s="4" t="s">
        <v>54</v>
      </c>
      <c r="B75" s="6">
        <v>66</v>
      </c>
    </row>
    <row r="76" spans="1:2" x14ac:dyDescent="0.25">
      <c r="A76" s="4" t="s">
        <v>55</v>
      </c>
      <c r="B76" s="6">
        <v>67</v>
      </c>
    </row>
    <row r="77" spans="1:2" x14ac:dyDescent="0.25">
      <c r="A77" s="4" t="s">
        <v>56</v>
      </c>
      <c r="B77" s="6">
        <v>54</v>
      </c>
    </row>
    <row r="78" spans="1:2" x14ac:dyDescent="0.25">
      <c r="A78" s="4" t="s">
        <v>4</v>
      </c>
      <c r="B78" s="2">
        <v>513</v>
      </c>
    </row>
    <row r="86" spans="1:2" x14ac:dyDescent="0.25">
      <c r="A86" t="s">
        <v>62</v>
      </c>
    </row>
    <row r="87" spans="1:2" x14ac:dyDescent="0.25">
      <c r="A87" s="1" t="s">
        <v>6</v>
      </c>
      <c r="B87" t="s">
        <v>61</v>
      </c>
    </row>
    <row r="88" spans="1:2" x14ac:dyDescent="0.25">
      <c r="A88" s="4" t="s">
        <v>59</v>
      </c>
      <c r="B88" s="6">
        <v>316</v>
      </c>
    </row>
    <row r="89" spans="1:2" x14ac:dyDescent="0.25">
      <c r="A89" s="4" t="s">
        <v>60</v>
      </c>
      <c r="B89" s="6">
        <v>197</v>
      </c>
    </row>
    <row r="90" spans="1:2" x14ac:dyDescent="0.25">
      <c r="A90" s="4" t="s">
        <v>4</v>
      </c>
      <c r="B90" s="2">
        <v>513</v>
      </c>
    </row>
    <row r="96" spans="1:2" x14ac:dyDescent="0.25">
      <c r="A96" t="s">
        <v>66</v>
      </c>
    </row>
    <row r="97" spans="1:2" x14ac:dyDescent="0.25">
      <c r="A97" s="1" t="s">
        <v>6</v>
      </c>
      <c r="B97" t="s">
        <v>65</v>
      </c>
    </row>
    <row r="98" spans="1:2" x14ac:dyDescent="0.25">
      <c r="A98" s="4" t="s">
        <v>63</v>
      </c>
      <c r="B98" s="6">
        <v>241</v>
      </c>
    </row>
    <row r="99" spans="1:2" x14ac:dyDescent="0.25">
      <c r="A99" s="4" t="s">
        <v>64</v>
      </c>
      <c r="B99" s="6">
        <v>272</v>
      </c>
    </row>
    <row r="100" spans="1:2" x14ac:dyDescent="0.25">
      <c r="A100" s="4" t="s">
        <v>4</v>
      </c>
      <c r="B100" s="2">
        <v>513</v>
      </c>
    </row>
    <row r="106" spans="1:2" x14ac:dyDescent="0.25">
      <c r="A106" t="s">
        <v>76</v>
      </c>
    </row>
    <row r="107" spans="1:2" x14ac:dyDescent="0.25">
      <c r="A107" s="1" t="s">
        <v>6</v>
      </c>
      <c r="B107" t="s">
        <v>75</v>
      </c>
    </row>
    <row r="108" spans="1:2" x14ac:dyDescent="0.25">
      <c r="A108" s="4" t="s">
        <v>68</v>
      </c>
      <c r="B108" s="6">
        <v>4</v>
      </c>
    </row>
    <row r="109" spans="1:2" x14ac:dyDescent="0.25">
      <c r="A109" s="4" t="s">
        <v>74</v>
      </c>
      <c r="B109" s="6">
        <v>5</v>
      </c>
    </row>
    <row r="110" spans="1:2" x14ac:dyDescent="0.25">
      <c r="A110" s="4" t="s">
        <v>70</v>
      </c>
      <c r="B110" s="6">
        <v>9</v>
      </c>
    </row>
    <row r="111" spans="1:2" x14ac:dyDescent="0.25">
      <c r="A111" s="4" t="s">
        <v>73</v>
      </c>
      <c r="B111" s="6">
        <v>14</v>
      </c>
    </row>
    <row r="112" spans="1:2" x14ac:dyDescent="0.25">
      <c r="A112" s="4" t="s">
        <v>67</v>
      </c>
      <c r="B112" s="6">
        <v>14</v>
      </c>
    </row>
    <row r="113" spans="1:2" x14ac:dyDescent="0.25">
      <c r="A113" s="4" t="s">
        <v>72</v>
      </c>
      <c r="B113" s="6">
        <v>65</v>
      </c>
    </row>
    <row r="114" spans="1:2" x14ac:dyDescent="0.25">
      <c r="A114" s="4" t="s">
        <v>69</v>
      </c>
      <c r="B114" s="6">
        <v>103</v>
      </c>
    </row>
    <row r="115" spans="1:2" x14ac:dyDescent="0.25">
      <c r="A115" s="4" t="s">
        <v>71</v>
      </c>
      <c r="B115" s="6">
        <v>299</v>
      </c>
    </row>
    <row r="116" spans="1:2" x14ac:dyDescent="0.25">
      <c r="A116" s="4" t="s">
        <v>4</v>
      </c>
      <c r="B116" s="2">
        <v>513</v>
      </c>
    </row>
    <row r="122" spans="1:2" x14ac:dyDescent="0.25">
      <c r="A122" t="s">
        <v>77</v>
      </c>
    </row>
    <row r="123" spans="1:2" x14ac:dyDescent="0.25">
      <c r="A123" s="1" t="s">
        <v>6</v>
      </c>
    </row>
    <row r="124" spans="1:2" x14ac:dyDescent="0.25">
      <c r="A124" s="4" t="s">
        <v>5</v>
      </c>
    </row>
    <row r="125" spans="1:2" x14ac:dyDescent="0.25">
      <c r="A125" s="4" t="s">
        <v>4</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61757-D7A0-447F-A31E-89D4CB80DEAF}">
  <dimension ref="A1:M16"/>
  <sheetViews>
    <sheetView tabSelected="1" topLeftCell="A5" zoomScale="160" zoomScaleNormal="160" workbookViewId="0"/>
  </sheetViews>
  <sheetFormatPr defaultRowHeight="15" x14ac:dyDescent="0.25"/>
  <sheetData>
    <row r="1" spans="1:13" x14ac:dyDescent="0.25">
      <c r="A1" s="3"/>
      <c r="B1" s="3"/>
      <c r="C1" s="3"/>
      <c r="D1" s="3"/>
      <c r="E1" s="3"/>
      <c r="F1" s="3"/>
      <c r="G1" s="3"/>
      <c r="H1" s="3"/>
      <c r="I1" s="3"/>
      <c r="J1" s="3"/>
      <c r="K1" s="3"/>
      <c r="L1" s="3"/>
      <c r="M1" s="3"/>
    </row>
    <row r="2" spans="1:13" x14ac:dyDescent="0.25">
      <c r="A2" s="3"/>
      <c r="B2" s="3"/>
      <c r="C2" s="3"/>
      <c r="D2" s="3"/>
      <c r="E2" s="3"/>
      <c r="F2" s="3"/>
      <c r="G2" s="3"/>
      <c r="H2" s="3"/>
      <c r="I2" s="3"/>
      <c r="J2" s="3"/>
      <c r="K2" s="3"/>
      <c r="L2" s="3"/>
      <c r="M2" s="3"/>
    </row>
    <row r="3" spans="1:13" x14ac:dyDescent="0.25">
      <c r="A3" s="3"/>
      <c r="B3" s="3"/>
      <c r="C3" s="3"/>
      <c r="D3" s="3"/>
      <c r="E3" s="3"/>
      <c r="F3" s="3"/>
      <c r="G3" s="3"/>
      <c r="H3" s="3"/>
      <c r="I3" s="3"/>
      <c r="J3" s="3"/>
      <c r="K3" s="3"/>
      <c r="L3" s="3"/>
      <c r="M3" s="3"/>
    </row>
    <row r="4" spans="1:13" x14ac:dyDescent="0.25">
      <c r="A4" s="3"/>
      <c r="B4" s="3"/>
      <c r="C4" s="3"/>
      <c r="D4" s="3"/>
      <c r="E4" s="3"/>
      <c r="F4" s="3"/>
      <c r="G4" s="3"/>
      <c r="H4" s="3"/>
      <c r="I4" s="3"/>
      <c r="J4" s="3"/>
      <c r="K4" s="3"/>
      <c r="L4" s="3"/>
      <c r="M4" s="3"/>
    </row>
    <row r="5" spans="1:13" x14ac:dyDescent="0.25">
      <c r="A5" s="3"/>
      <c r="B5" s="3"/>
      <c r="C5" s="3"/>
      <c r="D5" s="3"/>
      <c r="E5" s="3"/>
      <c r="F5" s="3"/>
      <c r="G5" s="3"/>
      <c r="H5" s="3"/>
      <c r="I5" s="3"/>
      <c r="J5" s="3"/>
      <c r="K5" s="3"/>
      <c r="L5" s="3"/>
      <c r="M5" s="3"/>
    </row>
    <row r="6" spans="1:13" x14ac:dyDescent="0.25">
      <c r="A6" s="3"/>
      <c r="B6" s="3"/>
      <c r="C6" s="3"/>
      <c r="D6" s="3"/>
      <c r="E6" s="3"/>
      <c r="F6" s="3"/>
      <c r="G6" s="3"/>
      <c r="H6" s="3"/>
      <c r="I6" s="3"/>
      <c r="J6" s="3"/>
      <c r="K6" s="3"/>
      <c r="L6" s="3"/>
      <c r="M6" s="3"/>
    </row>
    <row r="7" spans="1:13" x14ac:dyDescent="0.25">
      <c r="A7" s="3"/>
      <c r="B7" s="3"/>
      <c r="C7" s="3"/>
      <c r="D7" s="3"/>
      <c r="E7" s="3"/>
      <c r="F7" s="3"/>
      <c r="G7" s="3"/>
      <c r="H7" s="3"/>
      <c r="I7" s="3"/>
      <c r="J7" s="3"/>
      <c r="K7" s="3"/>
      <c r="L7" s="3"/>
      <c r="M7" s="3"/>
    </row>
    <row r="8" spans="1:13" x14ac:dyDescent="0.25">
      <c r="A8" s="3"/>
      <c r="B8" s="3"/>
      <c r="C8" s="3"/>
      <c r="D8" s="3"/>
      <c r="E8" s="3"/>
      <c r="F8" s="3"/>
      <c r="G8" s="3"/>
      <c r="H8" s="3"/>
      <c r="I8" s="3"/>
      <c r="J8" s="3"/>
      <c r="K8" s="3"/>
      <c r="L8" s="3"/>
      <c r="M8" s="3"/>
    </row>
    <row r="9" spans="1:13" x14ac:dyDescent="0.25">
      <c r="A9" s="3"/>
      <c r="B9" s="3"/>
      <c r="C9" s="3"/>
      <c r="D9" s="3"/>
      <c r="E9" s="3"/>
      <c r="F9" s="3"/>
      <c r="G9" s="3"/>
      <c r="H9" s="3"/>
      <c r="I9" s="3"/>
      <c r="J9" s="3"/>
      <c r="K9" s="3"/>
      <c r="L9" s="3"/>
      <c r="M9" s="3"/>
    </row>
    <row r="10" spans="1:13" x14ac:dyDescent="0.25">
      <c r="A10" s="3"/>
      <c r="B10" s="3"/>
      <c r="C10" s="3"/>
      <c r="D10" s="3"/>
      <c r="E10" s="3"/>
      <c r="F10" s="3"/>
      <c r="G10" s="3"/>
      <c r="H10" s="3"/>
      <c r="I10" s="3"/>
      <c r="J10" s="3"/>
      <c r="K10" s="3"/>
      <c r="L10" s="3"/>
      <c r="M10" s="3"/>
    </row>
    <row r="11" spans="1:13" x14ac:dyDescent="0.25">
      <c r="A11" s="3"/>
      <c r="B11" s="3"/>
      <c r="C11" s="3"/>
      <c r="D11" s="3"/>
      <c r="E11" s="3"/>
      <c r="F11" s="3"/>
      <c r="G11" s="3"/>
      <c r="H11" s="3"/>
      <c r="I11" s="3"/>
      <c r="J11" s="3"/>
      <c r="K11" s="3"/>
      <c r="L11" s="3"/>
      <c r="M11" s="3"/>
    </row>
    <row r="12" spans="1:13" x14ac:dyDescent="0.25">
      <c r="A12" s="3"/>
      <c r="B12" s="3"/>
      <c r="C12" s="3"/>
      <c r="D12" s="3"/>
      <c r="E12" s="3"/>
      <c r="F12" s="3"/>
      <c r="G12" s="3"/>
      <c r="H12" s="3"/>
      <c r="I12" s="3"/>
      <c r="J12" s="3"/>
      <c r="K12" s="3"/>
      <c r="L12" s="3"/>
      <c r="M12" s="3"/>
    </row>
    <row r="13" spans="1:13" x14ac:dyDescent="0.25">
      <c r="A13" s="3"/>
      <c r="B13" s="3"/>
      <c r="C13" s="3"/>
      <c r="D13" s="3"/>
      <c r="E13" s="3"/>
      <c r="F13" s="3"/>
      <c r="G13" s="3"/>
      <c r="H13" s="3"/>
      <c r="I13" s="3"/>
      <c r="J13" s="3"/>
      <c r="K13" s="3"/>
      <c r="L13" s="3"/>
      <c r="M13" s="3"/>
    </row>
    <row r="14" spans="1:13" x14ac:dyDescent="0.25">
      <c r="A14" s="3"/>
      <c r="B14" s="3"/>
      <c r="C14" s="3"/>
      <c r="D14" s="3"/>
      <c r="E14" s="3"/>
      <c r="F14" s="3"/>
      <c r="G14" s="3"/>
      <c r="H14" s="3"/>
      <c r="I14" s="3"/>
      <c r="J14" s="3"/>
      <c r="K14" s="3"/>
      <c r="L14" s="3"/>
      <c r="M14" s="3"/>
    </row>
    <row r="15" spans="1:13" x14ac:dyDescent="0.25">
      <c r="A15" s="3"/>
      <c r="B15" s="3"/>
      <c r="C15" s="3"/>
      <c r="D15" s="3"/>
      <c r="E15" s="3"/>
      <c r="F15" s="3"/>
      <c r="G15" s="3"/>
      <c r="H15" s="3"/>
      <c r="I15" s="3"/>
      <c r="J15" s="3"/>
      <c r="K15" s="3"/>
      <c r="L15" s="3"/>
      <c r="M15" s="3"/>
    </row>
    <row r="16" spans="1:13" x14ac:dyDescent="0.25">
      <c r="A16" s="3"/>
      <c r="B16" s="3"/>
      <c r="C16" s="3"/>
      <c r="D16" s="3"/>
      <c r="E16" s="3"/>
      <c r="F16" s="3"/>
      <c r="G16" s="3"/>
      <c r="H16" s="3"/>
      <c r="I16" s="3"/>
      <c r="J16" s="3"/>
      <c r="K16" s="3"/>
      <c r="L16" s="3"/>
      <c r="M16" s="3"/>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DDD89-8AA8-4B5C-8B02-94694B57FA8E}">
  <dimension ref="A1:P22"/>
  <sheetViews>
    <sheetView zoomScale="90" zoomScaleNormal="90" workbookViewId="0"/>
  </sheetViews>
  <sheetFormatPr defaultRowHeight="15" x14ac:dyDescent="0.25"/>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x14ac:dyDescent="0.25">
      <c r="A3" s="5"/>
      <c r="B3" s="5"/>
      <c r="C3" s="5"/>
      <c r="D3" s="5"/>
      <c r="E3" s="5"/>
      <c r="F3" s="5"/>
      <c r="G3" s="5"/>
      <c r="H3" s="5"/>
      <c r="I3" s="5"/>
      <c r="J3" s="5"/>
      <c r="K3" s="5"/>
      <c r="L3" s="5"/>
      <c r="M3" s="5"/>
      <c r="N3" s="5"/>
      <c r="O3" s="5"/>
      <c r="P3" s="5"/>
    </row>
    <row r="4" spans="1:16" x14ac:dyDescent="0.25">
      <c r="A4" s="5"/>
      <c r="B4" s="5"/>
      <c r="C4" s="5"/>
      <c r="D4" s="5"/>
      <c r="E4" s="5"/>
      <c r="F4" s="5"/>
      <c r="G4" s="5"/>
      <c r="H4" s="5"/>
      <c r="I4" s="5"/>
      <c r="J4" s="5"/>
      <c r="K4" s="5"/>
      <c r="L4" s="5"/>
      <c r="M4" s="5"/>
      <c r="N4" s="5"/>
      <c r="O4" s="5"/>
      <c r="P4" s="5"/>
    </row>
    <row r="5" spans="1:16" x14ac:dyDescent="0.25">
      <c r="A5" s="5"/>
      <c r="B5" s="5"/>
      <c r="C5" s="5"/>
      <c r="D5" s="5"/>
      <c r="E5" s="5"/>
      <c r="F5" s="5"/>
      <c r="G5" s="5"/>
      <c r="H5" s="5"/>
      <c r="I5" s="5"/>
      <c r="J5" s="5"/>
      <c r="K5" s="5"/>
      <c r="L5" s="5"/>
      <c r="M5" s="5"/>
      <c r="N5" s="5"/>
      <c r="O5" s="5"/>
      <c r="P5" s="5"/>
    </row>
    <row r="6" spans="1:16" x14ac:dyDescent="0.25">
      <c r="A6" s="5"/>
      <c r="B6" s="5"/>
      <c r="C6" s="5"/>
      <c r="D6" s="5"/>
      <c r="E6" s="5"/>
      <c r="F6" s="5"/>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x14ac:dyDescent="0.25">
      <c r="A16" s="5"/>
      <c r="B16" s="5"/>
      <c r="C16" s="5"/>
      <c r="D16" s="5"/>
      <c r="E16" s="5"/>
      <c r="F16" s="5"/>
      <c r="G16" s="5"/>
      <c r="H16" s="5"/>
      <c r="I16" s="5"/>
      <c r="J16" s="5"/>
      <c r="K16" s="5"/>
      <c r="L16" s="5"/>
      <c r="M16" s="5"/>
      <c r="N16" s="5"/>
      <c r="O16" s="5"/>
      <c r="P16" s="5"/>
    </row>
    <row r="17" spans="1:16" x14ac:dyDescent="0.25">
      <c r="A17" s="5"/>
      <c r="B17" s="5"/>
      <c r="C17" s="5"/>
      <c r="D17" s="5"/>
      <c r="E17" s="5"/>
      <c r="F17" s="5"/>
      <c r="G17" s="5"/>
      <c r="H17" s="5"/>
      <c r="I17" s="5"/>
      <c r="J17" s="5"/>
      <c r="K17" s="5"/>
      <c r="L17" s="5"/>
      <c r="M17" s="5"/>
      <c r="N17" s="5"/>
      <c r="O17" s="5"/>
      <c r="P17" s="5"/>
    </row>
    <row r="18" spans="1:16" x14ac:dyDescent="0.25">
      <c r="A18" s="5"/>
      <c r="B18" s="5"/>
      <c r="C18" s="5"/>
      <c r="D18" s="5"/>
      <c r="E18" s="5"/>
      <c r="F18" s="5"/>
      <c r="G18" s="5"/>
      <c r="H18" s="5"/>
      <c r="I18" s="5"/>
      <c r="J18" s="5"/>
      <c r="K18" s="5"/>
      <c r="L18" s="5"/>
      <c r="M18" s="5"/>
      <c r="N18" s="5"/>
      <c r="O18" s="5"/>
      <c r="P18" s="5"/>
    </row>
    <row r="19" spans="1:16" x14ac:dyDescent="0.25">
      <c r="A19" s="5"/>
      <c r="B19" s="5"/>
      <c r="C19" s="5"/>
      <c r="D19" s="5"/>
      <c r="E19" s="5"/>
      <c r="F19" s="5"/>
      <c r="G19" s="5"/>
      <c r="H19" s="5"/>
      <c r="I19" s="5"/>
      <c r="J19" s="5"/>
      <c r="K19" s="5"/>
      <c r="L19" s="5"/>
      <c r="M19" s="5"/>
      <c r="N19" s="5"/>
      <c r="O19" s="5"/>
      <c r="P19" s="5"/>
    </row>
    <row r="20" spans="1:16" x14ac:dyDescent="0.25">
      <c r="A20" s="5"/>
      <c r="B20" s="5"/>
      <c r="C20" s="5"/>
      <c r="D20" s="5"/>
      <c r="E20" s="5"/>
      <c r="F20" s="5"/>
      <c r="G20" s="5"/>
      <c r="H20" s="5"/>
      <c r="I20" s="5"/>
      <c r="J20" s="5"/>
      <c r="K20" s="5"/>
      <c r="L20" s="5"/>
      <c r="M20" s="5"/>
      <c r="N20" s="5"/>
      <c r="O20" s="5"/>
      <c r="P20" s="5"/>
    </row>
    <row r="22" spans="1:16" x14ac:dyDescent="0.25">
      <c r="J22" t="s">
        <v>40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F7D96-F5AD-4E93-AEAC-470C43026DAA}">
  <dimension ref="A1:N19"/>
  <sheetViews>
    <sheetView workbookViewId="0"/>
  </sheetViews>
  <sheetFormatPr defaultRowHeight="15" x14ac:dyDescent="0.25"/>
  <sheetData>
    <row r="1" spans="1:14" x14ac:dyDescent="0.25">
      <c r="A1" s="5"/>
      <c r="B1" s="5"/>
      <c r="C1" s="5"/>
      <c r="D1" s="5"/>
      <c r="E1" s="5"/>
      <c r="F1" s="5"/>
      <c r="G1" s="5"/>
      <c r="H1" s="5"/>
      <c r="I1" s="5"/>
      <c r="J1" s="5"/>
      <c r="K1" s="5"/>
      <c r="L1" s="5"/>
      <c r="M1" s="5"/>
      <c r="N1" s="5"/>
    </row>
    <row r="2" spans="1:14" x14ac:dyDescent="0.25">
      <c r="A2" s="5"/>
      <c r="B2" s="5"/>
      <c r="C2" s="5"/>
      <c r="D2" s="5"/>
      <c r="E2" s="5"/>
      <c r="F2" s="5"/>
      <c r="G2" s="5"/>
      <c r="H2" s="5"/>
      <c r="I2" s="5"/>
      <c r="J2" s="5"/>
      <c r="K2" s="5"/>
      <c r="L2" s="5"/>
      <c r="M2" s="5"/>
      <c r="N2" s="5"/>
    </row>
    <row r="3" spans="1:14" x14ac:dyDescent="0.25">
      <c r="A3" s="5"/>
      <c r="B3" s="5"/>
      <c r="C3" s="5"/>
      <c r="D3" s="5"/>
      <c r="E3" s="5"/>
      <c r="F3" s="5"/>
      <c r="G3" s="5"/>
      <c r="H3" s="5"/>
      <c r="I3" s="5"/>
      <c r="J3" s="5"/>
      <c r="K3" s="5"/>
      <c r="L3" s="5"/>
      <c r="M3" s="5"/>
      <c r="N3" s="5"/>
    </row>
    <row r="4" spans="1:14" x14ac:dyDescent="0.25">
      <c r="A4" s="5"/>
      <c r="B4" s="5"/>
      <c r="C4" s="5"/>
      <c r="D4" s="5"/>
      <c r="E4" s="5"/>
      <c r="F4" s="5"/>
      <c r="G4" s="5"/>
      <c r="H4" s="5"/>
      <c r="I4" s="5"/>
      <c r="J4" s="5"/>
      <c r="K4" s="5"/>
      <c r="L4" s="5"/>
      <c r="M4" s="5"/>
      <c r="N4" s="5"/>
    </row>
    <row r="5" spans="1:14" x14ac:dyDescent="0.25">
      <c r="A5" s="5"/>
      <c r="B5" s="5"/>
      <c r="C5" s="5"/>
      <c r="D5" s="5"/>
      <c r="E5" s="5"/>
      <c r="F5" s="5"/>
      <c r="G5" s="5"/>
      <c r="H5" s="5"/>
      <c r="I5" s="5"/>
      <c r="J5" s="5"/>
      <c r="K5" s="5"/>
      <c r="L5" s="5"/>
      <c r="M5" s="5"/>
      <c r="N5" s="5"/>
    </row>
    <row r="6" spans="1:14" x14ac:dyDescent="0.25">
      <c r="A6" s="5"/>
      <c r="B6" s="5"/>
      <c r="C6" s="5"/>
      <c r="D6" s="5"/>
      <c r="E6" s="5"/>
      <c r="F6" s="5"/>
      <c r="G6" s="5"/>
      <c r="H6" s="5"/>
      <c r="I6" s="5"/>
      <c r="J6" s="5"/>
      <c r="K6" s="5"/>
      <c r="L6" s="5"/>
      <c r="M6" s="5"/>
      <c r="N6" s="5"/>
    </row>
    <row r="7" spans="1:14" x14ac:dyDescent="0.25">
      <c r="A7" s="5"/>
      <c r="B7" s="5"/>
      <c r="C7" s="5"/>
      <c r="D7" s="5"/>
      <c r="E7" s="5"/>
      <c r="F7" s="5"/>
      <c r="G7" s="5"/>
      <c r="H7" s="5"/>
      <c r="I7" s="5"/>
      <c r="J7" s="5"/>
      <c r="K7" s="5"/>
      <c r="L7" s="5"/>
      <c r="M7" s="5"/>
      <c r="N7" s="5"/>
    </row>
    <row r="8" spans="1:14" x14ac:dyDescent="0.25">
      <c r="A8" s="5"/>
      <c r="B8" s="5"/>
      <c r="C8" s="5"/>
      <c r="D8" s="5"/>
      <c r="E8" s="5"/>
      <c r="F8" s="5"/>
      <c r="G8" s="5"/>
      <c r="H8" s="5"/>
      <c r="I8" s="5"/>
      <c r="J8" s="5"/>
      <c r="K8" s="5"/>
      <c r="L8" s="5"/>
      <c r="M8" s="5"/>
      <c r="N8" s="5"/>
    </row>
    <row r="9" spans="1:14" x14ac:dyDescent="0.25">
      <c r="A9" s="5"/>
      <c r="B9" s="5"/>
      <c r="C9" s="5"/>
      <c r="D9" s="5"/>
      <c r="E9" s="5"/>
      <c r="F9" s="5"/>
      <c r="G9" s="5"/>
      <c r="H9" s="5"/>
      <c r="I9" s="5"/>
      <c r="J9" s="5"/>
      <c r="K9" s="5"/>
      <c r="L9" s="5"/>
      <c r="M9" s="5"/>
      <c r="N9" s="5"/>
    </row>
    <row r="10" spans="1:14" x14ac:dyDescent="0.25">
      <c r="A10" s="5"/>
      <c r="B10" s="5"/>
      <c r="C10" s="5"/>
      <c r="D10" s="5"/>
      <c r="E10" s="5"/>
      <c r="F10" s="5"/>
      <c r="G10" s="5"/>
      <c r="H10" s="5"/>
      <c r="I10" s="5"/>
      <c r="J10" s="5"/>
      <c r="K10" s="5"/>
      <c r="L10" s="5"/>
      <c r="M10" s="5"/>
      <c r="N10" s="5"/>
    </row>
    <row r="11" spans="1:14" x14ac:dyDescent="0.25">
      <c r="A11" s="5"/>
      <c r="B11" s="5"/>
      <c r="C11" s="5"/>
      <c r="D11" s="5"/>
      <c r="E11" s="5"/>
      <c r="F11" s="5"/>
      <c r="G11" s="5"/>
      <c r="H11" s="5"/>
      <c r="I11" s="5"/>
      <c r="J11" s="5"/>
      <c r="K11" s="5"/>
      <c r="L11" s="5"/>
      <c r="M11" s="5"/>
      <c r="N11" s="5"/>
    </row>
    <row r="12" spans="1:14" x14ac:dyDescent="0.25">
      <c r="A12" s="5"/>
      <c r="B12" s="5"/>
      <c r="C12" s="5"/>
      <c r="D12" s="5"/>
      <c r="E12" s="5"/>
      <c r="F12" s="5"/>
      <c r="G12" s="5"/>
      <c r="H12" s="5"/>
      <c r="I12" s="5"/>
      <c r="J12" s="5"/>
      <c r="K12" s="5"/>
      <c r="L12" s="5"/>
      <c r="M12" s="5"/>
      <c r="N12" s="5"/>
    </row>
    <row r="13" spans="1:14" x14ac:dyDescent="0.25">
      <c r="A13" s="5"/>
      <c r="B13" s="5"/>
      <c r="C13" s="5"/>
      <c r="D13" s="5"/>
      <c r="E13" s="5"/>
      <c r="F13" s="5"/>
      <c r="G13" s="5"/>
      <c r="H13" s="5"/>
      <c r="I13" s="5"/>
      <c r="J13" s="5"/>
      <c r="K13" s="5"/>
      <c r="L13" s="5"/>
      <c r="M13" s="5"/>
      <c r="N13" s="5"/>
    </row>
    <row r="14" spans="1:14" x14ac:dyDescent="0.25">
      <c r="A14" s="5"/>
      <c r="B14" s="5"/>
      <c r="C14" s="5"/>
      <c r="D14" s="5"/>
      <c r="E14" s="5"/>
      <c r="F14" s="5"/>
      <c r="G14" s="5"/>
      <c r="H14" s="5"/>
      <c r="I14" s="5"/>
      <c r="J14" s="5"/>
      <c r="K14" s="5"/>
      <c r="L14" s="5"/>
      <c r="M14" s="5"/>
      <c r="N14" s="5"/>
    </row>
    <row r="15" spans="1:14" x14ac:dyDescent="0.25">
      <c r="A15" s="5"/>
      <c r="B15" s="5"/>
      <c r="C15" s="5"/>
      <c r="D15" s="5"/>
      <c r="E15" s="5"/>
      <c r="F15" s="5"/>
      <c r="G15" s="5"/>
      <c r="H15" s="5"/>
      <c r="I15" s="5"/>
      <c r="J15" s="5"/>
      <c r="K15" s="5"/>
      <c r="L15" s="5"/>
      <c r="M15" s="5"/>
      <c r="N15" s="5"/>
    </row>
    <row r="16" spans="1:14" x14ac:dyDescent="0.25">
      <c r="A16" s="5"/>
      <c r="B16" s="5"/>
      <c r="C16" s="5"/>
      <c r="D16" s="5"/>
      <c r="E16" s="5"/>
      <c r="F16" s="5"/>
      <c r="G16" s="5"/>
      <c r="H16" s="5"/>
      <c r="I16" s="5"/>
      <c r="J16" s="5"/>
      <c r="K16" s="5"/>
      <c r="L16" s="5"/>
      <c r="M16" s="5"/>
      <c r="N16" s="5"/>
    </row>
    <row r="17" spans="1:14" x14ac:dyDescent="0.25">
      <c r="A17" s="5"/>
      <c r="B17" s="5"/>
      <c r="C17" s="5"/>
      <c r="D17" s="5"/>
      <c r="E17" s="5"/>
      <c r="F17" s="5"/>
      <c r="G17" s="5"/>
      <c r="H17" s="5"/>
      <c r="I17" s="5"/>
      <c r="J17" s="5"/>
      <c r="K17" s="5"/>
      <c r="L17" s="5"/>
      <c r="M17" s="5"/>
      <c r="N17" s="5"/>
    </row>
    <row r="18" spans="1:14" x14ac:dyDescent="0.25">
      <c r="A18" s="5"/>
      <c r="B18" s="5"/>
      <c r="C18" s="5"/>
      <c r="D18" s="5"/>
      <c r="E18" s="5"/>
      <c r="F18" s="5"/>
      <c r="G18" s="5"/>
      <c r="H18" s="5"/>
      <c r="I18" s="5"/>
      <c r="J18" s="5"/>
      <c r="K18" s="5"/>
      <c r="L18" s="5"/>
      <c r="M18" s="5"/>
      <c r="N18" s="5"/>
    </row>
    <row r="19" spans="1:14" x14ac:dyDescent="0.25">
      <c r="A19" s="5"/>
      <c r="B19" s="5"/>
      <c r="C19" s="5"/>
      <c r="D19" s="5"/>
      <c r="E19" s="5"/>
      <c r="F19" s="5"/>
      <c r="G19" s="5"/>
      <c r="H19" s="5"/>
      <c r="I19" s="5"/>
      <c r="J19" s="5"/>
      <c r="K19" s="5"/>
      <c r="L19" s="5"/>
      <c r="M19" s="5"/>
      <c r="N19"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EB60B-8768-4E9B-8203-F9BD5803A0F7}">
  <dimension ref="A1:O20"/>
  <sheetViews>
    <sheetView workbookViewId="0"/>
  </sheetViews>
  <sheetFormatPr defaultRowHeight="15" x14ac:dyDescent="0.25"/>
  <sheetData>
    <row r="1" spans="1:15" x14ac:dyDescent="0.25">
      <c r="A1" s="5"/>
      <c r="B1" s="5"/>
      <c r="C1" s="5"/>
      <c r="D1" s="5"/>
      <c r="E1" s="5"/>
      <c r="F1" s="5"/>
      <c r="G1" s="5"/>
      <c r="H1" s="5"/>
      <c r="I1" s="5"/>
      <c r="J1" s="5"/>
      <c r="K1" s="5"/>
      <c r="L1" s="5"/>
      <c r="M1" s="5"/>
      <c r="N1" s="5"/>
      <c r="O1" s="5"/>
    </row>
    <row r="2" spans="1:15" x14ac:dyDescent="0.25">
      <c r="A2" s="5"/>
      <c r="B2" s="5"/>
      <c r="C2" s="5"/>
      <c r="D2" s="5"/>
      <c r="E2" s="5"/>
      <c r="F2" s="5"/>
      <c r="G2" s="5"/>
      <c r="H2" s="5"/>
      <c r="I2" s="5"/>
      <c r="J2" s="5"/>
      <c r="K2" s="5"/>
      <c r="L2" s="5"/>
      <c r="M2" s="5"/>
      <c r="N2" s="5"/>
      <c r="O2" s="5"/>
    </row>
    <row r="3" spans="1:15" x14ac:dyDescent="0.25">
      <c r="A3" s="5"/>
      <c r="B3" s="5"/>
      <c r="C3" s="5"/>
      <c r="D3" s="5"/>
      <c r="E3" s="5"/>
      <c r="F3" s="5"/>
      <c r="G3" s="5"/>
      <c r="H3" s="5"/>
      <c r="I3" s="5"/>
      <c r="J3" s="5"/>
      <c r="K3" s="5"/>
      <c r="L3" s="5"/>
      <c r="M3" s="5"/>
      <c r="N3" s="5"/>
      <c r="O3" s="5"/>
    </row>
    <row r="4" spans="1:15" x14ac:dyDescent="0.25">
      <c r="A4" s="5"/>
      <c r="B4" s="5"/>
      <c r="C4" s="5"/>
      <c r="D4" s="5"/>
      <c r="E4" s="5"/>
      <c r="F4" s="5"/>
      <c r="G4" s="5"/>
      <c r="H4" s="5"/>
      <c r="I4" s="5"/>
      <c r="J4" s="5"/>
      <c r="K4" s="5"/>
      <c r="L4" s="5"/>
      <c r="M4" s="5"/>
      <c r="N4" s="5"/>
      <c r="O4" s="5"/>
    </row>
    <row r="5" spans="1:15" x14ac:dyDescent="0.25">
      <c r="A5" s="5"/>
      <c r="B5" s="5"/>
      <c r="C5" s="5"/>
      <c r="D5" s="5"/>
      <c r="E5" s="5"/>
      <c r="F5" s="5"/>
      <c r="G5" s="5"/>
      <c r="H5" s="5"/>
      <c r="I5" s="5"/>
      <c r="J5" s="5"/>
      <c r="K5" s="5"/>
      <c r="L5" s="5"/>
      <c r="M5" s="5"/>
      <c r="N5" s="5"/>
      <c r="O5" s="5"/>
    </row>
    <row r="6" spans="1:15" x14ac:dyDescent="0.25">
      <c r="A6" s="5"/>
      <c r="B6" s="5"/>
      <c r="C6" s="5"/>
      <c r="D6" s="5"/>
      <c r="E6" s="5"/>
      <c r="F6" s="5"/>
      <c r="G6" s="5"/>
      <c r="H6" s="5"/>
      <c r="I6" s="5"/>
      <c r="J6" s="5"/>
      <c r="K6" s="5"/>
      <c r="L6" s="5"/>
      <c r="M6" s="5"/>
      <c r="N6" s="5"/>
      <c r="O6" s="5"/>
    </row>
    <row r="7" spans="1:15" x14ac:dyDescent="0.25">
      <c r="A7" s="5"/>
      <c r="B7" s="5"/>
      <c r="C7" s="5"/>
      <c r="D7" s="5"/>
      <c r="E7" s="5"/>
      <c r="F7" s="5"/>
      <c r="G7" s="5"/>
      <c r="H7" s="5"/>
      <c r="I7" s="5"/>
      <c r="J7" s="5"/>
      <c r="K7" s="5"/>
      <c r="L7" s="5"/>
      <c r="M7" s="5"/>
      <c r="N7" s="5"/>
      <c r="O7" s="5"/>
    </row>
    <row r="8" spans="1:15" x14ac:dyDescent="0.25">
      <c r="A8" s="5"/>
      <c r="B8" s="5"/>
      <c r="C8" s="5"/>
      <c r="D8" s="5"/>
      <c r="E8" s="5"/>
      <c r="F8" s="5"/>
      <c r="G8" s="5"/>
      <c r="H8" s="5"/>
      <c r="I8" s="5"/>
      <c r="J8" s="5"/>
      <c r="K8" s="5"/>
      <c r="L8" s="5"/>
      <c r="M8" s="5"/>
      <c r="N8" s="5"/>
      <c r="O8" s="5"/>
    </row>
    <row r="9" spans="1:15" x14ac:dyDescent="0.25">
      <c r="A9" s="5"/>
      <c r="B9" s="5"/>
      <c r="C9" s="5"/>
      <c r="D9" s="5"/>
      <c r="E9" s="5"/>
      <c r="F9" s="5"/>
      <c r="G9" s="5"/>
      <c r="H9" s="5"/>
      <c r="I9" s="5"/>
      <c r="J9" s="5"/>
      <c r="K9" s="5"/>
      <c r="L9" s="5"/>
      <c r="M9" s="5"/>
      <c r="N9" s="5"/>
      <c r="O9" s="5"/>
    </row>
    <row r="10" spans="1:15" x14ac:dyDescent="0.25">
      <c r="A10" s="5"/>
      <c r="B10" s="5"/>
      <c r="C10" s="5"/>
      <c r="D10" s="5"/>
      <c r="E10" s="5"/>
      <c r="F10" s="5"/>
      <c r="G10" s="5"/>
      <c r="H10" s="5"/>
      <c r="I10" s="5"/>
      <c r="J10" s="5"/>
      <c r="K10" s="5"/>
      <c r="L10" s="5"/>
      <c r="M10" s="5"/>
      <c r="N10" s="5"/>
      <c r="O10" s="5"/>
    </row>
    <row r="11" spans="1:15" x14ac:dyDescent="0.25">
      <c r="A11" s="5"/>
      <c r="B11" s="5"/>
      <c r="C11" s="5"/>
      <c r="D11" s="5"/>
      <c r="E11" s="5"/>
      <c r="F11" s="5"/>
      <c r="G11" s="5"/>
      <c r="H11" s="5"/>
      <c r="I11" s="5"/>
      <c r="J11" s="5"/>
      <c r="K11" s="5"/>
      <c r="L11" s="5"/>
      <c r="M11" s="5"/>
      <c r="N11" s="5"/>
      <c r="O11" s="5"/>
    </row>
    <row r="12" spans="1:15" x14ac:dyDescent="0.25">
      <c r="A12" s="5"/>
      <c r="B12" s="5"/>
      <c r="C12" s="5"/>
      <c r="D12" s="5"/>
      <c r="E12" s="5"/>
      <c r="F12" s="5"/>
      <c r="G12" s="5"/>
      <c r="H12" s="5"/>
      <c r="I12" s="5"/>
      <c r="J12" s="5"/>
      <c r="K12" s="5"/>
      <c r="L12" s="5"/>
      <c r="M12" s="5"/>
      <c r="N12" s="5"/>
      <c r="O12" s="5"/>
    </row>
    <row r="13" spans="1:15" x14ac:dyDescent="0.25">
      <c r="A13" s="5"/>
      <c r="B13" s="5"/>
      <c r="C13" s="5"/>
      <c r="D13" s="5"/>
      <c r="E13" s="5"/>
      <c r="F13" s="5"/>
      <c r="G13" s="5"/>
      <c r="H13" s="5"/>
      <c r="I13" s="5"/>
      <c r="J13" s="5"/>
      <c r="K13" s="5"/>
      <c r="L13" s="5"/>
      <c r="M13" s="5"/>
      <c r="N13" s="5"/>
      <c r="O13" s="5"/>
    </row>
    <row r="14" spans="1:15" x14ac:dyDescent="0.25">
      <c r="A14" s="5"/>
      <c r="B14" s="5"/>
      <c r="C14" s="5"/>
      <c r="D14" s="5"/>
      <c r="E14" s="5"/>
      <c r="F14" s="5"/>
      <c r="G14" s="5"/>
      <c r="H14" s="5"/>
      <c r="I14" s="5"/>
      <c r="J14" s="5"/>
      <c r="K14" s="5"/>
      <c r="L14" s="5"/>
      <c r="M14" s="5"/>
      <c r="N14" s="5"/>
      <c r="O14" s="5"/>
    </row>
    <row r="15" spans="1:15" x14ac:dyDescent="0.25">
      <c r="A15" s="5"/>
      <c r="B15" s="5"/>
      <c r="C15" s="5"/>
      <c r="D15" s="5"/>
      <c r="E15" s="5"/>
      <c r="F15" s="5"/>
      <c r="G15" s="5"/>
      <c r="H15" s="5"/>
      <c r="I15" s="5"/>
      <c r="J15" s="5"/>
      <c r="K15" s="5"/>
      <c r="L15" s="5"/>
      <c r="M15" s="5"/>
      <c r="N15" s="5"/>
      <c r="O15" s="5"/>
    </row>
    <row r="16" spans="1:15" x14ac:dyDescent="0.25">
      <c r="A16" s="5"/>
      <c r="B16" s="5"/>
      <c r="C16" s="5"/>
      <c r="D16" s="5"/>
      <c r="E16" s="5"/>
      <c r="F16" s="5"/>
      <c r="G16" s="5"/>
      <c r="H16" s="5"/>
      <c r="I16" s="5"/>
      <c r="J16" s="5"/>
      <c r="K16" s="5"/>
      <c r="L16" s="5"/>
      <c r="M16" s="5"/>
      <c r="N16" s="5"/>
      <c r="O16" s="5"/>
    </row>
    <row r="17" spans="1:15" x14ac:dyDescent="0.25">
      <c r="A17" s="5"/>
      <c r="B17" s="5"/>
      <c r="C17" s="5"/>
      <c r="D17" s="5"/>
      <c r="E17" s="5"/>
      <c r="F17" s="5"/>
      <c r="G17" s="5"/>
      <c r="H17" s="5"/>
      <c r="I17" s="5"/>
      <c r="J17" s="5"/>
      <c r="K17" s="5"/>
      <c r="L17" s="5"/>
      <c r="M17" s="5"/>
      <c r="N17" s="5"/>
      <c r="O17" s="5"/>
    </row>
    <row r="18" spans="1:15" x14ac:dyDescent="0.25">
      <c r="A18" s="5"/>
      <c r="B18" s="5"/>
      <c r="C18" s="5"/>
      <c r="D18" s="5"/>
      <c r="E18" s="5"/>
      <c r="F18" s="5"/>
      <c r="G18" s="5"/>
      <c r="H18" s="5"/>
      <c r="I18" s="5"/>
      <c r="J18" s="5"/>
      <c r="K18" s="5"/>
      <c r="L18" s="5"/>
      <c r="M18" s="5"/>
      <c r="N18" s="5"/>
      <c r="O18" s="5"/>
    </row>
    <row r="19" spans="1:15" x14ac:dyDescent="0.25">
      <c r="A19" s="5"/>
      <c r="B19" s="5"/>
      <c r="C19" s="5"/>
      <c r="D19" s="5"/>
      <c r="E19" s="5"/>
      <c r="F19" s="5"/>
      <c r="G19" s="5"/>
      <c r="H19" s="5"/>
      <c r="I19" s="5"/>
      <c r="J19" s="5"/>
      <c r="K19" s="5"/>
      <c r="L19" s="5"/>
      <c r="M19" s="5"/>
      <c r="N19" s="5"/>
      <c r="O19" s="5"/>
    </row>
    <row r="20" spans="1:15" x14ac:dyDescent="0.25">
      <c r="A20" s="5"/>
      <c r="B20" s="5"/>
      <c r="C20" s="5"/>
      <c r="D20" s="5"/>
      <c r="E20" s="5"/>
      <c r="F20" s="5"/>
      <c r="G20" s="5"/>
      <c r="H20" s="5"/>
      <c r="I20" s="5"/>
      <c r="J20" s="5"/>
      <c r="K20" s="5"/>
      <c r="L20" s="5"/>
      <c r="M20" s="5"/>
      <c r="N20" s="5"/>
      <c r="O20"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10378F0E-F578-4124-A8F1-00119FEA9F7B}">
  <ds:schemaRefs/>
</ds:datastoreItem>
</file>

<file path=customXml/itemProps2.xml><?xml version="1.0" encoding="utf-8"?>
<ds:datastoreItem xmlns:ds="http://schemas.openxmlformats.org/officeDocument/2006/customXml" ds:itemID="{D6DE4A75-5104-4CCD-B70E-B3F2A1C3A159}">
  <ds:schemaRefs/>
</ds:datastoreItem>
</file>

<file path=customXml/itemProps3.xml><?xml version="1.0" encoding="utf-8"?>
<ds:datastoreItem xmlns:ds="http://schemas.openxmlformats.org/officeDocument/2006/customXml" ds:itemID="{AD7FAA7A-0F29-408F-BC43-A4B9161EAD35}">
  <ds:schemaRefs/>
</ds:datastoreItem>
</file>

<file path=customXml/itemProps4.xml><?xml version="1.0" encoding="utf-8"?>
<ds:datastoreItem xmlns:ds="http://schemas.openxmlformats.org/officeDocument/2006/customXml" ds:itemID="{9A64BDC7-4ADC-43B8-BF2D-0D5876D78E5C}">
  <ds:schemaRefs/>
</ds:datastoreItem>
</file>

<file path=customXml/itemProps5.xml><?xml version="1.0" encoding="utf-8"?>
<ds:datastoreItem xmlns:ds="http://schemas.openxmlformats.org/officeDocument/2006/customXml" ds:itemID="{1216B4B6-00D4-439D-8611-5448D7C7FB9F}">
  <ds:schemaRefs/>
</ds:datastoreItem>
</file>

<file path=customXml/itemProps6.xml><?xml version="1.0" encoding="utf-8"?>
<ds:datastoreItem xmlns:ds="http://schemas.openxmlformats.org/officeDocument/2006/customXml" ds:itemID="{27E26459-6855-4A0C-AE84-3BB21DD51C1A}">
  <ds:schemaRefs>
    <ds:schemaRef ds:uri="http://schemas.microsoft.com/DataMashup"/>
  </ds:schemaRefs>
</ds:datastoreItem>
</file>

<file path=customXml/itemProps7.xml><?xml version="1.0" encoding="utf-8"?>
<ds:datastoreItem xmlns:ds="http://schemas.openxmlformats.org/officeDocument/2006/customXml" ds:itemID="{4E20036C-8192-4417-A0A0-6397937E080E}">
  <ds:schemaRefs/>
</ds:datastoreItem>
</file>

<file path=customXml/itemProps8.xml><?xml version="1.0" encoding="utf-8"?>
<ds:datastoreItem xmlns:ds="http://schemas.openxmlformats.org/officeDocument/2006/customXml" ds:itemID="{72152420-BD0F-43E3-A60A-BAA3CB78B238}">
  <ds:schemaRefs/>
</ds:datastoreItem>
</file>

<file path=customXml/itemProps9.xml><?xml version="1.0" encoding="utf-8"?>
<ds:datastoreItem xmlns:ds="http://schemas.openxmlformats.org/officeDocument/2006/customXml" ds:itemID="{5928AA8E-CA40-49B6-85B8-AEDB13BC4019}">
  <ds:schemaRefs/>
</ds:datastoreItem>
</file>

<file path=customXml/itemProps10.xml><?xml version="1.0" encoding="utf-8"?>
<ds:datastoreItem xmlns:ds="http://schemas.openxmlformats.org/officeDocument/2006/customXml" ds:itemID="{955AD55B-0653-4366-9CD9-F6900F4178B1}">
  <ds:schemaRefs/>
</ds:datastoreItem>
</file>

<file path=customXml/itemProps11.xml><?xml version="1.0" encoding="utf-8"?>
<ds:datastoreItem xmlns:ds="http://schemas.openxmlformats.org/officeDocument/2006/customXml" ds:itemID="{F2C84E7B-B39D-4846-BF2D-4573C716A786}">
  <ds:schemaRefs/>
</ds:datastoreItem>
</file>

<file path=customXml/itemProps12.xml><?xml version="1.0" encoding="utf-8"?>
<ds:datastoreItem xmlns:ds="http://schemas.openxmlformats.org/officeDocument/2006/customXml" ds:itemID="{22255B9A-24DA-4A95-903A-E763A846C01B}">
  <ds:schemaRefs/>
</ds:datastoreItem>
</file>

<file path=customXml/itemProps13.xml><?xml version="1.0" encoding="utf-8"?>
<ds:datastoreItem xmlns:ds="http://schemas.openxmlformats.org/officeDocument/2006/customXml" ds:itemID="{695BE6D7-1A5B-4D70-BD12-617B9CB3DBB2}">
  <ds:schemaRefs/>
</ds:datastoreItem>
</file>

<file path=customXml/itemProps14.xml><?xml version="1.0" encoding="utf-8"?>
<ds:datastoreItem xmlns:ds="http://schemas.openxmlformats.org/officeDocument/2006/customXml" ds:itemID="{D3ED24BE-251E-4265-B505-719D2CD3722C}">
  <ds:schemaRefs/>
</ds:datastoreItem>
</file>

<file path=customXml/itemProps15.xml><?xml version="1.0" encoding="utf-8"?>
<ds:datastoreItem xmlns:ds="http://schemas.openxmlformats.org/officeDocument/2006/customXml" ds:itemID="{3DFBBBE5-F5C5-45C5-B5C5-BB203D282FC2}">
  <ds:schemaRefs/>
</ds:datastoreItem>
</file>

<file path=customXml/itemProps16.xml><?xml version="1.0" encoding="utf-8"?>
<ds:datastoreItem xmlns:ds="http://schemas.openxmlformats.org/officeDocument/2006/customXml" ds:itemID="{33B068E2-6313-4A62-95DB-3F056DE810F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Average Wait Time daily trend</vt:lpstr>
      <vt:lpstr>Daily ER No of patients</vt:lpstr>
      <vt:lpstr>Saticification score daily tren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 REDDY</dc:creator>
  <cp:lastModifiedBy>CHANDRA REDDY</cp:lastModifiedBy>
  <dcterms:created xsi:type="dcterms:W3CDTF">2025-07-28T06:26:52Z</dcterms:created>
  <dcterms:modified xsi:type="dcterms:W3CDTF">2026-01-13T14:36:58Z</dcterms:modified>
</cp:coreProperties>
</file>